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chi\Downloads\"/>
    </mc:Choice>
  </mc:AlternateContent>
  <xr:revisionPtr revIDLastSave="0" documentId="13_ncr:1_{E5473120-FE85-48E1-BDF8-8B6EAC7989D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01_Control_Panel" sheetId="1" r:id="rId1"/>
    <sheet name="02_Supplier_Input" sheetId="2" r:id="rId2"/>
    <sheet name="03_FX_Rates" sheetId="3" r:id="rId3"/>
    <sheet name="04_Logistics_Taxes" sheetId="4" r:id="rId4"/>
    <sheet name="05_Margin_Engine" sheetId="5" r:id="rId5"/>
    <sheet name="06_Quote_Output" sheetId="6" r:id="rId6"/>
    <sheet name="07_Supplier_List" sheetId="7" r:id="rId7"/>
    <sheet name="Approval Check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8" l="1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7" i="6"/>
  <c r="M54" i="2"/>
  <c r="P53" i="2"/>
  <c r="M53" i="2"/>
  <c r="G53" i="2"/>
  <c r="H53" i="2" s="1"/>
  <c r="I53" i="2" s="1"/>
  <c r="P52" i="2"/>
  <c r="M52" i="2"/>
  <c r="I52" i="2"/>
  <c r="H52" i="2"/>
  <c r="G52" i="2"/>
  <c r="P51" i="2"/>
  <c r="M51" i="2"/>
  <c r="H51" i="2"/>
  <c r="I51" i="2" s="1"/>
  <c r="L51" i="2" s="1"/>
  <c r="G51" i="2"/>
  <c r="P50" i="2"/>
  <c r="M50" i="2"/>
  <c r="H50" i="2"/>
  <c r="I50" i="2" s="1"/>
  <c r="G50" i="2"/>
  <c r="P49" i="2"/>
  <c r="M49" i="2"/>
  <c r="G49" i="2"/>
  <c r="H49" i="2" s="1"/>
  <c r="I49" i="2" s="1"/>
  <c r="P48" i="2"/>
  <c r="M48" i="2"/>
  <c r="G48" i="2"/>
  <c r="H48" i="2" s="1"/>
  <c r="I48" i="2" s="1"/>
  <c r="P47" i="2"/>
  <c r="M47" i="2"/>
  <c r="I47" i="2"/>
  <c r="H47" i="2"/>
  <c r="G47" i="2"/>
  <c r="P46" i="2"/>
  <c r="M46" i="2"/>
  <c r="L46" i="2"/>
  <c r="G46" i="2"/>
  <c r="H46" i="2" s="1"/>
  <c r="I46" i="2" s="1"/>
  <c r="P45" i="2"/>
  <c r="M45" i="2"/>
  <c r="H45" i="2"/>
  <c r="I45" i="2" s="1"/>
  <c r="L45" i="2" s="1"/>
  <c r="G45" i="2"/>
  <c r="P44" i="2"/>
  <c r="M44" i="2"/>
  <c r="I44" i="2"/>
  <c r="H44" i="2"/>
  <c r="G44" i="2"/>
  <c r="P43" i="2"/>
  <c r="M43" i="2"/>
  <c r="H43" i="2"/>
  <c r="I43" i="2" s="1"/>
  <c r="L43" i="2" s="1"/>
  <c r="G43" i="2"/>
  <c r="P42" i="2"/>
  <c r="M42" i="2"/>
  <c r="H42" i="2"/>
  <c r="I42" i="2" s="1"/>
  <c r="G42" i="2"/>
  <c r="P41" i="2"/>
  <c r="M41" i="2"/>
  <c r="G41" i="2"/>
  <c r="H41" i="2" s="1"/>
  <c r="I41" i="2" s="1"/>
  <c r="P40" i="2"/>
  <c r="M40" i="2"/>
  <c r="G40" i="2"/>
  <c r="H40" i="2" s="1"/>
  <c r="I40" i="2" s="1"/>
  <c r="P39" i="2"/>
  <c r="M39" i="2"/>
  <c r="I39" i="2"/>
  <c r="H39" i="2"/>
  <c r="G39" i="2"/>
  <c r="P38" i="2"/>
  <c r="M38" i="2"/>
  <c r="L38" i="2"/>
  <c r="G38" i="2"/>
  <c r="H38" i="2" s="1"/>
  <c r="I38" i="2" s="1"/>
  <c r="P37" i="2"/>
  <c r="M37" i="2"/>
  <c r="H37" i="2"/>
  <c r="I37" i="2" s="1"/>
  <c r="L37" i="2" s="1"/>
  <c r="G37" i="2"/>
  <c r="P36" i="2"/>
  <c r="M36" i="2"/>
  <c r="I36" i="2"/>
  <c r="H36" i="2"/>
  <c r="G36" i="2"/>
  <c r="P35" i="2"/>
  <c r="M35" i="2"/>
  <c r="H35" i="2"/>
  <c r="I35" i="2" s="1"/>
  <c r="L35" i="2" s="1"/>
  <c r="G35" i="2"/>
  <c r="P34" i="2"/>
  <c r="M34" i="2"/>
  <c r="H34" i="2"/>
  <c r="I34" i="2" s="1"/>
  <c r="G34" i="2"/>
  <c r="P33" i="2"/>
  <c r="M33" i="2"/>
  <c r="G33" i="2"/>
  <c r="H33" i="2" s="1"/>
  <c r="I33" i="2" s="1"/>
  <c r="P32" i="2"/>
  <c r="M32" i="2"/>
  <c r="G32" i="2"/>
  <c r="H32" i="2" s="1"/>
  <c r="I32" i="2" s="1"/>
  <c r="P31" i="2"/>
  <c r="M31" i="2"/>
  <c r="I31" i="2"/>
  <c r="H31" i="2"/>
  <c r="G31" i="2"/>
  <c r="P30" i="2"/>
  <c r="M30" i="2"/>
  <c r="L30" i="2"/>
  <c r="G30" i="2"/>
  <c r="H30" i="2" s="1"/>
  <c r="I30" i="2" s="1"/>
  <c r="P29" i="2"/>
  <c r="M29" i="2"/>
  <c r="G29" i="2"/>
  <c r="H29" i="2" s="1"/>
  <c r="I29" i="2" s="1"/>
  <c r="P28" i="2"/>
  <c r="M28" i="2"/>
  <c r="H28" i="2"/>
  <c r="I28" i="2" s="1"/>
  <c r="G28" i="2"/>
  <c r="P27" i="2"/>
  <c r="M27" i="2"/>
  <c r="H27" i="2"/>
  <c r="I27" i="2" s="1"/>
  <c r="L27" i="2" s="1"/>
  <c r="G27" i="2"/>
  <c r="P26" i="2"/>
  <c r="M26" i="2"/>
  <c r="G26" i="2"/>
  <c r="H26" i="2" s="1"/>
  <c r="I26" i="2" s="1"/>
  <c r="P25" i="2"/>
  <c r="M25" i="2"/>
  <c r="G25" i="2"/>
  <c r="H25" i="2" s="1"/>
  <c r="I25" i="2" s="1"/>
  <c r="P24" i="2"/>
  <c r="M24" i="2"/>
  <c r="G24" i="2"/>
  <c r="H24" i="2" s="1"/>
  <c r="I24" i="2" s="1"/>
  <c r="P23" i="2"/>
  <c r="M23" i="2"/>
  <c r="H23" i="2"/>
  <c r="I23" i="2" s="1"/>
  <c r="G23" i="2"/>
  <c r="P22" i="2"/>
  <c r="M22" i="2"/>
  <c r="G22" i="2"/>
  <c r="H22" i="2" s="1"/>
  <c r="I22" i="2" s="1"/>
  <c r="P21" i="2"/>
  <c r="M21" i="2"/>
  <c r="G21" i="2"/>
  <c r="H21" i="2" s="1"/>
  <c r="I21" i="2" s="1"/>
  <c r="P20" i="2"/>
  <c r="M20" i="2"/>
  <c r="H20" i="2"/>
  <c r="I20" i="2" s="1"/>
  <c r="G20" i="2"/>
  <c r="P19" i="2"/>
  <c r="M19" i="2"/>
  <c r="H19" i="2"/>
  <c r="I19" i="2" s="1"/>
  <c r="L19" i="2" s="1"/>
  <c r="G19" i="2"/>
  <c r="P18" i="2"/>
  <c r="M18" i="2"/>
  <c r="G18" i="2"/>
  <c r="H18" i="2" s="1"/>
  <c r="I18" i="2" s="1"/>
  <c r="P17" i="2"/>
  <c r="M17" i="2"/>
  <c r="G17" i="2"/>
  <c r="H17" i="2" s="1"/>
  <c r="I17" i="2" s="1"/>
  <c r="P16" i="2"/>
  <c r="M16" i="2"/>
  <c r="G16" i="2"/>
  <c r="H16" i="2" s="1"/>
  <c r="I16" i="2" s="1"/>
  <c r="P15" i="2"/>
  <c r="M15" i="2"/>
  <c r="H15" i="2"/>
  <c r="I15" i="2" s="1"/>
  <c r="G15" i="2"/>
  <c r="P14" i="2"/>
  <c r="M14" i="2"/>
  <c r="G14" i="2"/>
  <c r="H14" i="2" s="1"/>
  <c r="I14" i="2" s="1"/>
  <c r="P13" i="2"/>
  <c r="M13" i="2"/>
  <c r="G13" i="2"/>
  <c r="H13" i="2" s="1"/>
  <c r="I13" i="2" s="1"/>
  <c r="P12" i="2"/>
  <c r="M12" i="2"/>
  <c r="I12" i="2"/>
  <c r="L12" i="2" s="1"/>
  <c r="N12" i="2" s="1"/>
  <c r="H12" i="2"/>
  <c r="G12" i="2"/>
  <c r="P11" i="2"/>
  <c r="M11" i="2"/>
  <c r="G11" i="2"/>
  <c r="H11" i="2" s="1"/>
  <c r="I11" i="2" s="1"/>
  <c r="P10" i="2"/>
  <c r="M10" i="2"/>
  <c r="G10" i="2"/>
  <c r="H10" i="2" s="1"/>
  <c r="I10" i="2" s="1"/>
  <c r="P9" i="2"/>
  <c r="M9" i="2"/>
  <c r="G9" i="2"/>
  <c r="H9" i="2" s="1"/>
  <c r="I9" i="2" s="1"/>
  <c r="P8" i="2"/>
  <c r="M8" i="2"/>
  <c r="G8" i="2"/>
  <c r="H8" i="2" s="1"/>
  <c r="I8" i="2" s="1"/>
  <c r="P7" i="2"/>
  <c r="M7" i="2"/>
  <c r="H7" i="2"/>
  <c r="I7" i="2" s="1"/>
  <c r="G7" i="2"/>
  <c r="P6" i="2"/>
  <c r="M6" i="2"/>
  <c r="G6" i="2"/>
  <c r="H6" i="2" s="1"/>
  <c r="I6" i="2" s="1"/>
  <c r="P5" i="2"/>
  <c r="M5" i="2"/>
  <c r="G5" i="2"/>
  <c r="H5" i="2" s="1"/>
  <c r="I5" i="2" s="1"/>
  <c r="L29" i="2" l="1"/>
  <c r="N29" i="2" s="1"/>
  <c r="L24" i="2"/>
  <c r="N24" i="2"/>
  <c r="O24" i="2" s="1"/>
  <c r="R24" i="2" s="1"/>
  <c r="L49" i="2"/>
  <c r="N49" i="2" s="1"/>
  <c r="L8" i="2"/>
  <c r="N8" i="2"/>
  <c r="O8" i="2" s="1"/>
  <c r="R8" i="2" s="1"/>
  <c r="L15" i="2"/>
  <c r="L10" i="2"/>
  <c r="L20" i="2"/>
  <c r="N20" i="2" s="1"/>
  <c r="N13" i="2"/>
  <c r="L13" i="2"/>
  <c r="O13" i="2" s="1"/>
  <c r="R13" i="2" s="1"/>
  <c r="L25" i="2"/>
  <c r="O25" i="2" s="1"/>
  <c r="R25" i="2" s="1"/>
  <c r="N25" i="2"/>
  <c r="L34" i="2"/>
  <c r="N34" i="2" s="1"/>
  <c r="O34" i="2" s="1"/>
  <c r="R34" i="2" s="1"/>
  <c r="L42" i="2"/>
  <c r="N42" i="2"/>
  <c r="O42" i="2" s="1"/>
  <c r="R42" i="2" s="1"/>
  <c r="L50" i="2"/>
  <c r="N50" i="2" s="1"/>
  <c r="O50" i="2" s="1"/>
  <c r="R50" i="2" s="1"/>
  <c r="L5" i="2"/>
  <c r="N5" i="2" s="1"/>
  <c r="O5" i="2" s="1"/>
  <c r="L18" i="2"/>
  <c r="O18" i="2" s="1"/>
  <c r="R18" i="2" s="1"/>
  <c r="N18" i="2"/>
  <c r="N9" i="2"/>
  <c r="O9" i="2" s="1"/>
  <c r="R9" i="2" s="1"/>
  <c r="L9" i="2"/>
  <c r="L16" i="2"/>
  <c r="N16" i="2"/>
  <c r="O16" i="2" s="1"/>
  <c r="R16" i="2" s="1"/>
  <c r="L23" i="2"/>
  <c r="L32" i="2"/>
  <c r="N32" i="2"/>
  <c r="O32" i="2"/>
  <c r="R32" i="2" s="1"/>
  <c r="L40" i="2"/>
  <c r="N40" i="2"/>
  <c r="O40" i="2" s="1"/>
  <c r="R40" i="2" s="1"/>
  <c r="L48" i="2"/>
  <c r="O48" i="2" s="1"/>
  <c r="R48" i="2" s="1"/>
  <c r="N48" i="2"/>
  <c r="L17" i="2"/>
  <c r="N17" i="2" s="1"/>
  <c r="L41" i="2"/>
  <c r="L11" i="2"/>
  <c r="N11" i="2" s="1"/>
  <c r="L21" i="2"/>
  <c r="L26" i="2"/>
  <c r="N26" i="2" s="1"/>
  <c r="O26" i="2" s="1"/>
  <c r="R26" i="2" s="1"/>
  <c r="L28" i="2"/>
  <c r="N28" i="2" s="1"/>
  <c r="L33" i="2"/>
  <c r="O33" i="2" s="1"/>
  <c r="R33" i="2" s="1"/>
  <c r="N33" i="2"/>
  <c r="L7" i="2"/>
  <c r="N7" i="2" s="1"/>
  <c r="O7" i="2" s="1"/>
  <c r="R7" i="2" s="1"/>
  <c r="O12" i="2"/>
  <c r="R12" i="2" s="1"/>
  <c r="L53" i="2"/>
  <c r="L6" i="2"/>
  <c r="O6" i="2" s="1"/>
  <c r="R6" i="2" s="1"/>
  <c r="L14" i="2"/>
  <c r="O14" i="2" s="1"/>
  <c r="R14" i="2" s="1"/>
  <c r="N6" i="2"/>
  <c r="L22" i="2"/>
  <c r="N22" i="2" s="1"/>
  <c r="N36" i="2"/>
  <c r="L31" i="2"/>
  <c r="O31" i="2" s="1"/>
  <c r="R31" i="2" s="1"/>
  <c r="L36" i="2"/>
  <c r="L39" i="2"/>
  <c r="N39" i="2" s="1"/>
  <c r="O39" i="2" s="1"/>
  <c r="R39" i="2" s="1"/>
  <c r="L44" i="2"/>
  <c r="N44" i="2" s="1"/>
  <c r="L47" i="2"/>
  <c r="L52" i="2"/>
  <c r="N52" i="2" s="1"/>
  <c r="N14" i="2"/>
  <c r="N37" i="2"/>
  <c r="O37" i="2" s="1"/>
  <c r="R37" i="2" s="1"/>
  <c r="N19" i="2"/>
  <c r="N27" i="2"/>
  <c r="N30" i="2"/>
  <c r="O30" i="2" s="1"/>
  <c r="R30" i="2" s="1"/>
  <c r="N35" i="2"/>
  <c r="N38" i="2"/>
  <c r="O38" i="2" s="1"/>
  <c r="R38" i="2" s="1"/>
  <c r="N43" i="2"/>
  <c r="O43" i="2" s="1"/>
  <c r="R43" i="2" s="1"/>
  <c r="N46" i="2"/>
  <c r="O46" i="2" s="1"/>
  <c r="R46" i="2" s="1"/>
  <c r="N51" i="2"/>
  <c r="N45" i="2"/>
  <c r="O19" i="2"/>
  <c r="R19" i="2" s="1"/>
  <c r="O27" i="2"/>
  <c r="R27" i="2" s="1"/>
  <c r="N31" i="2"/>
  <c r="O35" i="2"/>
  <c r="R35" i="2" s="1"/>
  <c r="O36" i="2"/>
  <c r="R36" i="2" s="1"/>
  <c r="O45" i="2"/>
  <c r="R45" i="2" s="1"/>
  <c r="O51" i="2"/>
  <c r="R51" i="2" s="1"/>
  <c r="D57" i="6" l="1"/>
  <c r="E57" i="6" s="1"/>
  <c r="S50" i="2"/>
  <c r="T50" i="2" s="1"/>
  <c r="F57" i="6" s="1"/>
  <c r="D38" i="6"/>
  <c r="E38" i="6" s="1"/>
  <c r="S31" i="2"/>
  <c r="T31" i="2" s="1"/>
  <c r="F38" i="6" s="1"/>
  <c r="D44" i="6"/>
  <c r="E44" i="6" s="1"/>
  <c r="S37" i="2"/>
  <c r="T37" i="2" s="1"/>
  <c r="F44" i="6" s="1"/>
  <c r="O10" i="2"/>
  <c r="R10" i="2" s="1"/>
  <c r="D21" i="6"/>
  <c r="E21" i="6" s="1"/>
  <c r="S14" i="2"/>
  <c r="T14" i="2" s="1"/>
  <c r="F21" i="6" s="1"/>
  <c r="D14" i="6"/>
  <c r="E14" i="6" s="1"/>
  <c r="S7" i="2"/>
  <c r="T7" i="2" s="1"/>
  <c r="F14" i="6" s="1"/>
  <c r="D53" i="6"/>
  <c r="E53" i="6" s="1"/>
  <c r="S46" i="2"/>
  <c r="T46" i="2" s="1"/>
  <c r="F53" i="6" s="1"/>
  <c r="D50" i="6"/>
  <c r="E50" i="6" s="1"/>
  <c r="S43" i="2"/>
  <c r="T43" i="2" s="1"/>
  <c r="F50" i="6" s="1"/>
  <c r="D45" i="6"/>
  <c r="E45" i="6" s="1"/>
  <c r="S38" i="2"/>
  <c r="T38" i="2" s="1"/>
  <c r="F45" i="6" s="1"/>
  <c r="S25" i="2"/>
  <c r="T25" i="2" s="1"/>
  <c r="F32" i="6" s="1"/>
  <c r="D32" i="6"/>
  <c r="E32" i="6" s="1"/>
  <c r="D49" i="6"/>
  <c r="E49" i="6" s="1"/>
  <c r="S42" i="2"/>
  <c r="T42" i="2" s="1"/>
  <c r="F49" i="6" s="1"/>
  <c r="S48" i="2"/>
  <c r="T48" i="2" s="1"/>
  <c r="F55" i="6" s="1"/>
  <c r="D55" i="6"/>
  <c r="E55" i="6" s="1"/>
  <c r="D41" i="6"/>
  <c r="E41" i="6" s="1"/>
  <c r="S34" i="2"/>
  <c r="T34" i="2" s="1"/>
  <c r="F41" i="6" s="1"/>
  <c r="D33" i="6"/>
  <c r="E33" i="6" s="1"/>
  <c r="S26" i="2"/>
  <c r="T26" i="2" s="1"/>
  <c r="F33" i="6" s="1"/>
  <c r="D37" i="6"/>
  <c r="E37" i="6" s="1"/>
  <c r="S30" i="2"/>
  <c r="T30" i="2" s="1"/>
  <c r="F37" i="6" s="1"/>
  <c r="D25" i="6"/>
  <c r="E25" i="6" s="1"/>
  <c r="S18" i="2"/>
  <c r="T18" i="2" s="1"/>
  <c r="F25" i="6" s="1"/>
  <c r="S24" i="2"/>
  <c r="T24" i="2" s="1"/>
  <c r="F31" i="6" s="1"/>
  <c r="D31" i="6"/>
  <c r="E31" i="6" s="1"/>
  <c r="D23" i="6"/>
  <c r="E23" i="6" s="1"/>
  <c r="S16" i="2"/>
  <c r="T16" i="2" s="1"/>
  <c r="F23" i="6" s="1"/>
  <c r="S33" i="2"/>
  <c r="T33" i="2" s="1"/>
  <c r="F40" i="6" s="1"/>
  <c r="D40" i="6"/>
  <c r="E40" i="6" s="1"/>
  <c r="S40" i="2"/>
  <c r="T40" i="2" s="1"/>
  <c r="F47" i="6" s="1"/>
  <c r="D47" i="6"/>
  <c r="E47" i="6" s="1"/>
  <c r="S8" i="2"/>
  <c r="T8" i="2" s="1"/>
  <c r="F15" i="6" s="1"/>
  <c r="D15" i="6"/>
  <c r="E15" i="6" s="1"/>
  <c r="S9" i="2"/>
  <c r="T9" i="2" s="1"/>
  <c r="F16" i="6" s="1"/>
  <c r="D16" i="6"/>
  <c r="E16" i="6" s="1"/>
  <c r="S6" i="2"/>
  <c r="T6" i="2" s="1"/>
  <c r="F13" i="6" s="1"/>
  <c r="D13" i="6"/>
  <c r="E13" i="6" s="1"/>
  <c r="D46" i="6"/>
  <c r="E46" i="6" s="1"/>
  <c r="S39" i="2"/>
  <c r="T39" i="2" s="1"/>
  <c r="F46" i="6" s="1"/>
  <c r="D20" i="6"/>
  <c r="E20" i="6" s="1"/>
  <c r="S13" i="2"/>
  <c r="T13" i="2" s="1"/>
  <c r="F20" i="6" s="1"/>
  <c r="R5" i="2"/>
  <c r="N23" i="2"/>
  <c r="O23" i="2" s="1"/>
  <c r="R23" i="2" s="1"/>
  <c r="N15" i="2"/>
  <c r="O15" i="2" s="1"/>
  <c r="O49" i="2"/>
  <c r="R49" i="2" s="1"/>
  <c r="D43" i="6"/>
  <c r="E43" i="6" s="1"/>
  <c r="S36" i="2"/>
  <c r="T36" i="2" s="1"/>
  <c r="F43" i="6" s="1"/>
  <c r="N41" i="2"/>
  <c r="O41" i="2" s="1"/>
  <c r="R41" i="2" s="1"/>
  <c r="O20" i="2"/>
  <c r="R20" i="2" s="1"/>
  <c r="O53" i="2"/>
  <c r="R53" i="2" s="1"/>
  <c r="D42" i="6"/>
  <c r="E42" i="6" s="1"/>
  <c r="S35" i="2"/>
  <c r="T35" i="2" s="1"/>
  <c r="F42" i="6" s="1"/>
  <c r="D34" i="6"/>
  <c r="E34" i="6" s="1"/>
  <c r="S27" i="2"/>
  <c r="T27" i="2" s="1"/>
  <c r="F34" i="6" s="1"/>
  <c r="N21" i="2"/>
  <c r="O21" i="2" s="1"/>
  <c r="R21" i="2" s="1"/>
  <c r="O44" i="2"/>
  <c r="R44" i="2" s="1"/>
  <c r="S32" i="2"/>
  <c r="T32" i="2" s="1"/>
  <c r="F39" i="6" s="1"/>
  <c r="D39" i="6"/>
  <c r="E39" i="6" s="1"/>
  <c r="N47" i="2"/>
  <c r="O47" i="2" s="1"/>
  <c r="R47" i="2" s="1"/>
  <c r="O52" i="2"/>
  <c r="R52" i="2" s="1"/>
  <c r="N53" i="2"/>
  <c r="D26" i="6"/>
  <c r="E26" i="6" s="1"/>
  <c r="S19" i="2"/>
  <c r="T19" i="2" s="1"/>
  <c r="F26" i="6" s="1"/>
  <c r="D19" i="6"/>
  <c r="E19" i="6" s="1"/>
  <c r="S12" i="2"/>
  <c r="T12" i="2" s="1"/>
  <c r="F19" i="6" s="1"/>
  <c r="O28" i="2"/>
  <c r="R28" i="2" s="1"/>
  <c r="O17" i="2"/>
  <c r="R17" i="2" s="1"/>
  <c r="N10" i="2"/>
  <c r="O22" i="2"/>
  <c r="R22" i="2" s="1"/>
  <c r="O29" i="2"/>
  <c r="R29" i="2" s="1"/>
  <c r="D58" i="6"/>
  <c r="E58" i="6" s="1"/>
  <c r="S51" i="2"/>
  <c r="T51" i="2" s="1"/>
  <c r="F58" i="6" s="1"/>
  <c r="D52" i="6"/>
  <c r="E52" i="6" s="1"/>
  <c r="S45" i="2"/>
  <c r="T45" i="2" s="1"/>
  <c r="F52" i="6" s="1"/>
  <c r="O11" i="2"/>
  <c r="R11" i="2" s="1"/>
  <c r="D28" i="6" l="1"/>
  <c r="E28" i="6" s="1"/>
  <c r="S21" i="2"/>
  <c r="T21" i="2" s="1"/>
  <c r="F28" i="6" s="1"/>
  <c r="R15" i="2"/>
  <c r="D11" i="8"/>
  <c r="S41" i="2"/>
  <c r="T41" i="2" s="1"/>
  <c r="F48" i="6" s="1"/>
  <c r="D48" i="6"/>
  <c r="E48" i="6" s="1"/>
  <c r="D54" i="6"/>
  <c r="E54" i="6" s="1"/>
  <c r="S47" i="2"/>
  <c r="T47" i="2" s="1"/>
  <c r="F54" i="6" s="1"/>
  <c r="D30" i="6"/>
  <c r="E30" i="6" s="1"/>
  <c r="S23" i="2"/>
  <c r="T23" i="2" s="1"/>
  <c r="F30" i="6" s="1"/>
  <c r="S17" i="2"/>
  <c r="T17" i="2" s="1"/>
  <c r="F24" i="6" s="1"/>
  <c r="D24" i="6"/>
  <c r="E24" i="6" s="1"/>
  <c r="S5" i="2"/>
  <c r="T5" i="2" s="1"/>
  <c r="F12" i="6" s="1"/>
  <c r="D12" i="6"/>
  <c r="E12" i="6" s="1"/>
  <c r="D17" i="6"/>
  <c r="E17" i="6" s="1"/>
  <c r="S10" i="2"/>
  <c r="T10" i="2" s="1"/>
  <c r="F17" i="6" s="1"/>
  <c r="D51" i="6"/>
  <c r="E51" i="6" s="1"/>
  <c r="S44" i="2"/>
  <c r="T44" i="2" s="1"/>
  <c r="F51" i="6" s="1"/>
  <c r="D18" i="6"/>
  <c r="E18" i="6" s="1"/>
  <c r="S11" i="2"/>
  <c r="T11" i="2" s="1"/>
  <c r="F18" i="6" s="1"/>
  <c r="S49" i="2"/>
  <c r="T49" i="2" s="1"/>
  <c r="F56" i="6" s="1"/>
  <c r="D56" i="6"/>
  <c r="E56" i="6" s="1"/>
  <c r="D35" i="6"/>
  <c r="E35" i="6" s="1"/>
  <c r="S28" i="2"/>
  <c r="T28" i="2" s="1"/>
  <c r="F35" i="6" s="1"/>
  <c r="S53" i="2"/>
  <c r="T53" i="2" s="1"/>
  <c r="F60" i="6" s="1"/>
  <c r="D60" i="6"/>
  <c r="E60" i="6" s="1"/>
  <c r="D27" i="6"/>
  <c r="E27" i="6" s="1"/>
  <c r="S20" i="2"/>
  <c r="T20" i="2" s="1"/>
  <c r="F27" i="6" s="1"/>
  <c r="D36" i="6"/>
  <c r="E36" i="6" s="1"/>
  <c r="S29" i="2"/>
  <c r="T29" i="2" s="1"/>
  <c r="F36" i="6" s="1"/>
  <c r="D29" i="6"/>
  <c r="E29" i="6" s="1"/>
  <c r="S22" i="2"/>
  <c r="T22" i="2" s="1"/>
  <c r="F29" i="6" s="1"/>
  <c r="D59" i="6"/>
  <c r="E59" i="6" s="1"/>
  <c r="S52" i="2"/>
  <c r="T52" i="2" s="1"/>
  <c r="F59" i="6" s="1"/>
  <c r="D22" i="6" l="1"/>
  <c r="E22" i="6" s="1"/>
  <c r="F64" i="6" s="1"/>
  <c r="D9" i="8" s="1"/>
  <c r="D12" i="8" s="1"/>
  <c r="D13" i="8" s="1"/>
  <c r="S15" i="2"/>
  <c r="T15" i="2" s="1"/>
  <c r="F22" i="6" s="1"/>
  <c r="F65" i="6" s="1"/>
  <c r="D10" i="8" l="1"/>
  <c r="F66" i="6"/>
</calcChain>
</file>

<file path=xl/sharedStrings.xml><?xml version="1.0" encoding="utf-8"?>
<sst xmlns="http://schemas.openxmlformats.org/spreadsheetml/2006/main" count="207" uniqueCount="112">
  <si>
    <t>Setting</t>
  </si>
  <si>
    <t>Value</t>
  </si>
  <si>
    <t>Notes</t>
  </si>
  <si>
    <t>Base Currency</t>
  </si>
  <si>
    <t>FJD</t>
  </si>
  <si>
    <t>Your local currency</t>
  </si>
  <si>
    <t>VAT Rate</t>
  </si>
  <si>
    <t>Standard VAT</t>
  </si>
  <si>
    <t>Quote Validity</t>
  </si>
  <si>
    <t>Days</t>
  </si>
  <si>
    <t>Line</t>
  </si>
  <si>
    <t>Supplier</t>
  </si>
  <si>
    <t>Description</t>
  </si>
  <si>
    <t>Category</t>
  </si>
  <si>
    <t>Qty</t>
  </si>
  <si>
    <t>Unit Cost (Supp)</t>
  </si>
  <si>
    <t>Currency</t>
  </si>
  <si>
    <t>FX Rate</t>
  </si>
  <si>
    <t>Unit Cost (FJD)</t>
  </si>
  <si>
    <t>Ship Method</t>
  </si>
  <si>
    <t>Ship Value</t>
  </si>
  <si>
    <t>Ship Cost (FJD)</t>
  </si>
  <si>
    <t>Duty %</t>
  </si>
  <si>
    <t>Duty (FJD)</t>
  </si>
  <si>
    <t>Landed Cost</t>
  </si>
  <si>
    <t>Target GM%</t>
  </si>
  <si>
    <t>Override GM%</t>
  </si>
  <si>
    <t>VAT Excl. (FJD)</t>
  </si>
  <si>
    <t>VAT Incl. (FJD)</t>
  </si>
  <si>
    <t>Total Line (FJD)</t>
  </si>
  <si>
    <t>Westcon NZ</t>
  </si>
  <si>
    <t>93001 Switch</t>
  </si>
  <si>
    <t>Networking</t>
  </si>
  <si>
    <t>Percent</t>
  </si>
  <si>
    <t>Ingram Micro</t>
  </si>
  <si>
    <t>AP</t>
  </si>
  <si>
    <t>Comvergence Pty Ltd</t>
  </si>
  <si>
    <t>Rate to FJD</t>
  </si>
  <si>
    <t>Last Update</t>
  </si>
  <si>
    <t>USD</t>
  </si>
  <si>
    <t>AUD</t>
  </si>
  <si>
    <t>NZD</t>
  </si>
  <si>
    <t>EUR</t>
  </si>
  <si>
    <t>Duty Rate</t>
  </si>
  <si>
    <t>Switches/Routers</t>
  </si>
  <si>
    <t>Security</t>
  </si>
  <si>
    <t>Firewalls</t>
  </si>
  <si>
    <t>Server</t>
  </si>
  <si>
    <t>Hardware</t>
  </si>
  <si>
    <t>Cloud</t>
  </si>
  <si>
    <t>Virtual Goods</t>
  </si>
  <si>
    <t>Services</t>
  </si>
  <si>
    <t>Labor</t>
  </si>
  <si>
    <t>Cabling</t>
  </si>
  <si>
    <t>Physical Infra</t>
  </si>
  <si>
    <t>Target GM</t>
  </si>
  <si>
    <t>Standard</t>
  </si>
  <si>
    <t>High Value</t>
  </si>
  <si>
    <t>Competitive</t>
  </si>
  <si>
    <t>Recurring</t>
  </si>
  <si>
    <t>Pure Margin</t>
  </si>
  <si>
    <t>Accessory</t>
  </si>
  <si>
    <t>CUSTOMER QUOTE</t>
  </si>
  <si>
    <t>Quote Number</t>
  </si>
  <si>
    <t>Client</t>
  </si>
  <si>
    <t>Quote Date</t>
  </si>
  <si>
    <t>Valid Until</t>
  </si>
  <si>
    <t>#</t>
  </si>
  <si>
    <t>Unit Price</t>
  </si>
  <si>
    <t>Total (ex VAT)</t>
  </si>
  <si>
    <t>Total (in VAT)</t>
  </si>
  <si>
    <t xml:space="preserve"> Subtotal (ex VAT)</t>
  </si>
  <si>
    <t>Subtotal (in VAT)</t>
  </si>
  <si>
    <t>Grand Total</t>
  </si>
  <si>
    <t>Notes / Disclaimers:</t>
  </si>
  <si>
    <t>• Prices are in FJD and valid for the quote validity period unless otherwise stated.</t>
  </si>
  <si>
    <t>• FX and supplier pricing may change; if FX rates are older than the validity window, approval is required.</t>
  </si>
  <si>
    <t>• Lead times subject to supplier stock and shipping schedules.</t>
  </si>
  <si>
    <t>• Installation/support scope to be confirmed during project kickoff where applicable.</t>
  </si>
  <si>
    <t>Supplier Name</t>
  </si>
  <si>
    <t>Dicker Data</t>
  </si>
  <si>
    <t>Entelar ICT New Zealand</t>
  </si>
  <si>
    <t>Go Wireless NZ Ltd</t>
  </si>
  <si>
    <t>Ingram Micro NZ</t>
  </si>
  <si>
    <t>Netpoleon Limited</t>
  </si>
  <si>
    <t>NextGen Distribution Ltd</t>
  </si>
  <si>
    <t>Aatrox Communications Pty Ltd</t>
  </si>
  <si>
    <t>Dicker Data AU</t>
  </si>
  <si>
    <t>IT Crew Pty Ltd</t>
  </si>
  <si>
    <t>Leader Computers Pty Ltd</t>
  </si>
  <si>
    <t>Megacom Pty Ltd</t>
  </si>
  <si>
    <t>Westcon Comstor</t>
  </si>
  <si>
    <t>VULTR</t>
  </si>
  <si>
    <t>Digicel Fiji Pte Ltd</t>
  </si>
  <si>
    <t>Energy Fiji Limited</t>
  </si>
  <si>
    <t>Total Fiji Pte Ltd</t>
  </si>
  <si>
    <t>Telecom Fiji</t>
  </si>
  <si>
    <t>Vodafone Fiji Pte Ltd</t>
  </si>
  <si>
    <t>Approval Check (margin + FX governance)</t>
  </si>
  <si>
    <t>Subtotal (ex VAT)</t>
  </si>
  <si>
    <t>Approval Thresholds</t>
  </si>
  <si>
    <t>Estimated Landed Cost Total</t>
  </si>
  <si>
    <t>Low Margin Threshold</t>
  </si>
  <si>
    <t>Gross Margin (FJD)</t>
  </si>
  <si>
    <t>Critical Margin Threshold</t>
  </si>
  <si>
    <t>Gross Margin %</t>
  </si>
  <si>
    <t>Number of Suppliers</t>
  </si>
  <si>
    <t>Approval Status</t>
  </si>
  <si>
    <t>FX Freshness Check</t>
  </si>
  <si>
    <t>If FX rates are older than (hours)</t>
  </si>
  <si>
    <t>FX Status (manual review)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</si>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</sst>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4"/>
      <color theme="1"/>
      <name val="Arial"/>
    </font>
    <font>
      <sz val="11"/>
      <color rgb="FF000000"/>
      <name val="Calibri"/>
    </font>
    <font>
      <b/>
      <sz val="11"/>
      <color theme="1"/>
      <name val="Calibri"/>
    </font>
    <font>
      <b/>
      <sz val="10"/>
      <color theme="1"/>
      <name val="Arial"/>
      <scheme val="minor"/>
    </font>
    <font>
      <b/>
      <sz val="14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DEBF7"/>
        <bgColor rgb="FFDDEBF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3" fillId="0" borderId="0" xfId="0" applyFont="1"/>
    <xf numFmtId="164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2" xfId="0" applyFont="1" applyBorder="1"/>
    <xf numFmtId="0" fontId="5" fillId="0" borderId="2" xfId="0" applyFont="1" applyBorder="1" applyAlignment="1">
      <alignment horizontal="right"/>
    </xf>
    <xf numFmtId="165" fontId="5" fillId="0" borderId="2" xfId="0" applyNumberFormat="1" applyFont="1" applyBorder="1"/>
    <xf numFmtId="165" fontId="5" fillId="0" borderId="2" xfId="0" applyNumberFormat="1" applyFont="1" applyBorder="1" applyAlignment="1">
      <alignment horizontal="right"/>
    </xf>
    <xf numFmtId="0" fontId="1" fillId="0" borderId="3" xfId="0" applyFont="1" applyBorder="1"/>
    <xf numFmtId="0" fontId="6" fillId="0" borderId="2" xfId="0" applyFont="1" applyBorder="1" applyAlignment="1">
      <alignment horizontal="right"/>
    </xf>
    <xf numFmtId="0" fontId="6" fillId="0" borderId="0" xfId="0" applyFont="1"/>
    <xf numFmtId="0" fontId="1" fillId="2" borderId="0" xfId="0" applyFont="1" applyFill="1"/>
    <xf numFmtId="0" fontId="7" fillId="0" borderId="0" xfId="0" applyFont="1"/>
    <xf numFmtId="0" fontId="5" fillId="0" borderId="2" xfId="0" applyFont="1" applyBorder="1" applyAlignment="1">
      <alignment horizontal="center"/>
    </xf>
    <xf numFmtId="10" fontId="5" fillId="0" borderId="0" xfId="0" applyNumberFormat="1" applyFont="1" applyAlignment="1">
      <alignment horizontal="right"/>
    </xf>
    <xf numFmtId="10" fontId="5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0" xfId="0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 t="s">
        <v>3</v>
      </c>
      <c r="B2" s="2" t="s">
        <v>4</v>
      </c>
      <c r="C2" s="2" t="s">
        <v>5</v>
      </c>
    </row>
    <row r="3" spans="1:3" ht="15.75" customHeight="1" x14ac:dyDescent="0.25">
      <c r="A3" s="2" t="s">
        <v>6</v>
      </c>
      <c r="B3" s="2">
        <v>0.125</v>
      </c>
      <c r="C3" s="2" t="s">
        <v>7</v>
      </c>
    </row>
    <row r="4" spans="1:3" ht="15.75" customHeight="1" x14ac:dyDescent="0.25">
      <c r="A4" s="2" t="s">
        <v>8</v>
      </c>
      <c r="B4" s="2">
        <v>14</v>
      </c>
      <c r="C4" s="2" t="s">
        <v>9</v>
      </c>
    </row>
    <row r="5" spans="1:3" ht="15.75" customHeight="1" x14ac:dyDescent="0.25">
      <c r="A5" s="2"/>
      <c r="B5" s="2"/>
      <c r="C5" s="2"/>
    </row>
    <row r="6" spans="1:3" ht="15.75" customHeight="1" x14ac:dyDescent="0.25"/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3"/>
  <sheetViews>
    <sheetView tabSelected="1" workbookViewId="0">
      <selection activeCell="B7" sqref="B7"/>
    </sheetView>
  </sheetViews>
  <sheetFormatPr defaultColWidth="12.6640625" defaultRowHeight="15" customHeight="1" x14ac:dyDescent="0.25"/>
  <cols>
    <col min="1" max="1" width="8" customWidth="1"/>
    <col min="2" max="3" width="20.44140625" customWidth="1"/>
    <col min="4" max="5" width="12.6640625" customWidth="1"/>
    <col min="6" max="6" width="18" customWidth="1"/>
  </cols>
  <sheetData>
    <row r="1" spans="1:20" ht="15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.7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5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5.75" customHeight="1" x14ac:dyDescent="0.2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  <c r="M4" s="4" t="s">
        <v>22</v>
      </c>
      <c r="N4" s="4" t="s">
        <v>23</v>
      </c>
      <c r="O4" s="4" t="s">
        <v>24</v>
      </c>
      <c r="P4" s="4" t="s">
        <v>25</v>
      </c>
      <c r="Q4" s="4" t="s">
        <v>26</v>
      </c>
      <c r="R4" s="4" t="s">
        <v>27</v>
      </c>
      <c r="S4" s="4" t="s">
        <v>28</v>
      </c>
      <c r="T4" s="4" t="s">
        <v>29</v>
      </c>
    </row>
    <row r="5" spans="1:20" ht="15.75" customHeight="1" x14ac:dyDescent="0.25">
      <c r="A5" s="2">
        <v>1</v>
      </c>
      <c r="B5" s="2" t="s">
        <v>30</v>
      </c>
      <c r="C5" s="2" t="s">
        <v>31</v>
      </c>
      <c r="D5" s="2" t="s">
        <v>32</v>
      </c>
      <c r="E5" s="2">
        <v>1</v>
      </c>
      <c r="F5" s="2">
        <v>300</v>
      </c>
      <c r="G5" s="2" t="str">
        <f>IFERROR(VLOOKUP(B5, '07_Supplier_List'!A:B, 2, FALSE), "USD")</f>
        <v>NZD</v>
      </c>
      <c r="H5" s="2">
        <f>VLOOKUP(G5, '03_FX_Rates'!A:B, 2, FALSE)</f>
        <v>1.4</v>
      </c>
      <c r="I5" s="2">
        <f t="shared" ref="I5:I53" si="0">F5*H5</f>
        <v>420</v>
      </c>
      <c r="J5" s="2" t="s">
        <v>33</v>
      </c>
      <c r="K5" s="2">
        <v>0.05</v>
      </c>
      <c r="L5" s="2">
        <f t="shared" ref="L5:L53" si="1">IF(J5="Percent", I5*K5, K5)</f>
        <v>21</v>
      </c>
      <c r="M5" s="2">
        <f>IFERROR(VLOOKUP(D5, '04_Logistics_Taxes'!A:B, 2, FALSE), 0)</f>
        <v>0.05</v>
      </c>
      <c r="N5" s="2">
        <f t="shared" ref="N5:N53" si="2">(I5+L5)*M5</f>
        <v>22.05</v>
      </c>
      <c r="O5" s="2">
        <f t="shared" ref="O5:O53" si="3">I5+L5+N5</f>
        <v>463.05</v>
      </c>
      <c r="P5" s="2">
        <f>IF(Q5&lt;&gt;"", Q5, IFERROR(VLOOKUP(D5, '05_Margin_Engine'!A:B, 2, FALSE), 0))</f>
        <v>0.25</v>
      </c>
      <c r="R5" s="2">
        <f t="shared" ref="R5:R53" si="4">IF(Q5&lt;&gt;"", O5/(1-Q5), O5/(1-P5))</f>
        <v>617.4</v>
      </c>
      <c r="S5" s="2">
        <f>(R5*'01_Control_Panel'!$B$3)+R5</f>
        <v>694.57499999999993</v>
      </c>
      <c r="T5" s="2">
        <f t="shared" ref="T5:T53" si="5">S5*E5</f>
        <v>694.57499999999993</v>
      </c>
    </row>
    <row r="6" spans="1:20" ht="15.75" customHeight="1" x14ac:dyDescent="0.25">
      <c r="A6" s="2">
        <v>2</v>
      </c>
      <c r="B6" s="5" t="s">
        <v>34</v>
      </c>
      <c r="C6" s="5" t="s">
        <v>35</v>
      </c>
      <c r="D6" s="2" t="s">
        <v>32</v>
      </c>
      <c r="E6" s="2">
        <v>1</v>
      </c>
      <c r="F6" s="5">
        <v>200</v>
      </c>
      <c r="G6" s="2" t="str">
        <f>IFERROR(VLOOKUP(B6, '07_Supplier_List'!A:B, 2, FALSE), "USD")</f>
        <v>AUD</v>
      </c>
      <c r="H6" s="2">
        <f>VLOOKUP(G6, '03_FX_Rates'!A:B, 2, FALSE)</f>
        <v>1.5</v>
      </c>
      <c r="I6" s="2">
        <f t="shared" si="0"/>
        <v>300</v>
      </c>
      <c r="J6" s="2" t="s">
        <v>33</v>
      </c>
      <c r="K6" s="2">
        <v>0.05</v>
      </c>
      <c r="L6" s="2">
        <f t="shared" si="1"/>
        <v>15</v>
      </c>
      <c r="M6" s="2">
        <f>IFERROR(VLOOKUP(D6, '04_Logistics_Taxes'!A:B, 2, FALSE), 0)</f>
        <v>0.05</v>
      </c>
      <c r="N6" s="2">
        <f t="shared" si="2"/>
        <v>15.75</v>
      </c>
      <c r="O6" s="2">
        <f t="shared" si="3"/>
        <v>330.75</v>
      </c>
      <c r="P6" s="2">
        <f>IF(Q6&lt;&gt;"", Q6, IFERROR(VLOOKUP(D6, '05_Margin_Engine'!A:B, 2, FALSE), 0))</f>
        <v>0.25</v>
      </c>
      <c r="R6" s="2">
        <f t="shared" si="4"/>
        <v>441</v>
      </c>
      <c r="S6" s="2">
        <f>(R6*'01_Control_Panel'!$B$3)+R6</f>
        <v>496.125</v>
      </c>
      <c r="T6" s="2">
        <f t="shared" si="5"/>
        <v>496.125</v>
      </c>
    </row>
    <row r="7" spans="1:20" ht="15.75" customHeight="1" x14ac:dyDescent="0.25">
      <c r="A7" s="2">
        <v>3</v>
      </c>
      <c r="B7" s="5" t="s">
        <v>36</v>
      </c>
      <c r="D7" s="2"/>
      <c r="E7" s="2">
        <v>1</v>
      </c>
      <c r="G7" s="2" t="str">
        <f>IFERROR(VLOOKUP(B7, '07_Supplier_List'!A:B, 2, FALSE), "USD")</f>
        <v>AUD</v>
      </c>
      <c r="H7" s="2">
        <f>VLOOKUP(G7, '03_FX_Rates'!A:B, 2, FALSE)</f>
        <v>1.5</v>
      </c>
      <c r="I7" s="2">
        <f t="shared" si="0"/>
        <v>0</v>
      </c>
      <c r="J7" s="2" t="s">
        <v>33</v>
      </c>
      <c r="K7" s="2">
        <v>0.05</v>
      </c>
      <c r="L7" s="2">
        <f t="shared" si="1"/>
        <v>0</v>
      </c>
      <c r="M7" s="2">
        <f>IFERROR(VLOOKUP(D7, '04_Logistics_Taxes'!A:B, 2, FALSE), 0)</f>
        <v>0</v>
      </c>
      <c r="N7" s="2">
        <f t="shared" si="2"/>
        <v>0</v>
      </c>
      <c r="O7" s="2">
        <f t="shared" si="3"/>
        <v>0</v>
      </c>
      <c r="P7" s="2">
        <f>IF(Q7&lt;&gt;"", Q7, IFERROR(VLOOKUP(D7, '05_Margin_Engine'!A:B, 2, FALSE), 0))</f>
        <v>0</v>
      </c>
      <c r="R7" s="2">
        <f t="shared" si="4"/>
        <v>0</v>
      </c>
      <c r="S7" s="2">
        <f>(R7*'01_Control_Panel'!$B$3)+R7</f>
        <v>0</v>
      </c>
      <c r="T7" s="2">
        <f t="shared" si="5"/>
        <v>0</v>
      </c>
    </row>
    <row r="8" spans="1:20" ht="15.75" customHeight="1" x14ac:dyDescent="0.25">
      <c r="A8" s="2">
        <v>4</v>
      </c>
      <c r="B8" s="5"/>
      <c r="D8" s="2"/>
      <c r="E8" s="2">
        <v>1</v>
      </c>
      <c r="G8" s="2" t="str">
        <f>IFERROR(VLOOKUP(B8, '07_Supplier_List'!A:B, 2, FALSE), "USD")</f>
        <v>USD</v>
      </c>
      <c r="H8" s="2">
        <f>VLOOKUP(G8, '03_FX_Rates'!A:B, 2, FALSE)</f>
        <v>2.25</v>
      </c>
      <c r="I8" s="2">
        <f t="shared" si="0"/>
        <v>0</v>
      </c>
      <c r="J8" s="2" t="s">
        <v>33</v>
      </c>
      <c r="K8" s="2">
        <v>0.05</v>
      </c>
      <c r="L8" s="2">
        <f t="shared" si="1"/>
        <v>0</v>
      </c>
      <c r="M8" s="2">
        <f>IFERROR(VLOOKUP(D8, '04_Logistics_Taxes'!A:B, 2, FALSE), 0)</f>
        <v>0</v>
      </c>
      <c r="N8" s="2">
        <f t="shared" si="2"/>
        <v>0</v>
      </c>
      <c r="O8" s="2">
        <f t="shared" si="3"/>
        <v>0</v>
      </c>
      <c r="P8" s="2">
        <f>IF(Q8&lt;&gt;"", Q8, IFERROR(VLOOKUP(D8, '05_Margin_Engine'!A:B, 2, FALSE), 0))</f>
        <v>0</v>
      </c>
      <c r="R8" s="2">
        <f t="shared" si="4"/>
        <v>0</v>
      </c>
      <c r="S8" s="2">
        <f>(R8*'01_Control_Panel'!$B$3)+R8</f>
        <v>0</v>
      </c>
      <c r="T8" s="2">
        <f t="shared" si="5"/>
        <v>0</v>
      </c>
    </row>
    <row r="9" spans="1:20" ht="15.75" customHeight="1" x14ac:dyDescent="0.25">
      <c r="A9" s="2">
        <v>5</v>
      </c>
      <c r="B9" s="5"/>
      <c r="D9" s="2"/>
      <c r="E9" s="2">
        <v>1</v>
      </c>
      <c r="G9" s="2" t="str">
        <f>IFERROR(VLOOKUP(B9, '07_Supplier_List'!A:B, 2, FALSE), "USD")</f>
        <v>USD</v>
      </c>
      <c r="H9" s="2">
        <f>VLOOKUP(G9, '03_FX_Rates'!A:B, 2, FALSE)</f>
        <v>2.25</v>
      </c>
      <c r="I9" s="2">
        <f t="shared" si="0"/>
        <v>0</v>
      </c>
      <c r="J9" s="2" t="s">
        <v>33</v>
      </c>
      <c r="K9" s="2">
        <v>0.05</v>
      </c>
      <c r="L9" s="2">
        <f t="shared" si="1"/>
        <v>0</v>
      </c>
      <c r="M9" s="2">
        <f>IFERROR(VLOOKUP(D9, '04_Logistics_Taxes'!A:B, 2, FALSE), 0)</f>
        <v>0</v>
      </c>
      <c r="N9" s="2">
        <f t="shared" si="2"/>
        <v>0</v>
      </c>
      <c r="O9" s="2">
        <f t="shared" si="3"/>
        <v>0</v>
      </c>
      <c r="P9" s="2">
        <f>IF(Q9&lt;&gt;"", Q9, IFERROR(VLOOKUP(D9, '05_Margin_Engine'!A:B, 2, FALSE), 0))</f>
        <v>0</v>
      </c>
      <c r="R9" s="2">
        <f t="shared" si="4"/>
        <v>0</v>
      </c>
      <c r="S9" s="2">
        <f>(R9*'01_Control_Panel'!$B$3)+R9</f>
        <v>0</v>
      </c>
      <c r="T9" s="2">
        <f t="shared" si="5"/>
        <v>0</v>
      </c>
    </row>
    <row r="10" spans="1:20" ht="15.75" customHeight="1" x14ac:dyDescent="0.25">
      <c r="A10" s="2">
        <v>6</v>
      </c>
      <c r="B10" s="5"/>
      <c r="D10" s="5"/>
      <c r="E10" s="2">
        <v>1</v>
      </c>
      <c r="G10" s="2" t="str">
        <f>IFERROR(VLOOKUP(B10, '07_Supplier_List'!A:B, 2, FALSE), "USD")</f>
        <v>USD</v>
      </c>
      <c r="H10" s="2">
        <f>VLOOKUP(G10, '03_FX_Rates'!A:B, 2, FALSE)</f>
        <v>2.25</v>
      </c>
      <c r="I10" s="2">
        <f t="shared" si="0"/>
        <v>0</v>
      </c>
      <c r="J10" s="2" t="s">
        <v>33</v>
      </c>
      <c r="K10" s="2">
        <v>0.05</v>
      </c>
      <c r="L10" s="2">
        <f t="shared" si="1"/>
        <v>0</v>
      </c>
      <c r="M10" s="2">
        <f>IFERROR(VLOOKUP(D11, '04_Logistics_Taxes'!A:B, 2, FALSE), 0)</f>
        <v>0</v>
      </c>
      <c r="N10" s="2">
        <f t="shared" si="2"/>
        <v>0</v>
      </c>
      <c r="O10" s="2">
        <f t="shared" si="3"/>
        <v>0</v>
      </c>
      <c r="P10" s="2">
        <f>IF(Q10&lt;&gt;"", Q10, IFERROR(VLOOKUP(D10, '05_Margin_Engine'!A:B, 2, FALSE), 0))</f>
        <v>0</v>
      </c>
      <c r="R10" s="2">
        <f t="shared" si="4"/>
        <v>0</v>
      </c>
      <c r="S10" s="2">
        <f>(R10*'01_Control_Panel'!$B$3)+R10</f>
        <v>0</v>
      </c>
      <c r="T10" s="2">
        <f t="shared" si="5"/>
        <v>0</v>
      </c>
    </row>
    <row r="11" spans="1:20" ht="15.75" customHeight="1" x14ac:dyDescent="0.25">
      <c r="A11" s="2">
        <v>7</v>
      </c>
      <c r="B11" s="5"/>
      <c r="D11" s="2"/>
      <c r="E11" s="2">
        <v>1</v>
      </c>
      <c r="G11" s="2" t="str">
        <f>IFERROR(VLOOKUP(B11, '07_Supplier_List'!A:B, 2, FALSE), "USD")</f>
        <v>USD</v>
      </c>
      <c r="H11" s="2">
        <f>VLOOKUP(G11, '03_FX_Rates'!A:B, 2, FALSE)</f>
        <v>2.25</v>
      </c>
      <c r="I11" s="2">
        <f t="shared" si="0"/>
        <v>0</v>
      </c>
      <c r="J11" s="2" t="s">
        <v>33</v>
      </c>
      <c r="K11" s="2">
        <v>0.05</v>
      </c>
      <c r="L11" s="2">
        <f t="shared" si="1"/>
        <v>0</v>
      </c>
      <c r="M11" s="2">
        <f>IFERROR(VLOOKUP(#REF!, '04_Logistics_Taxes'!A:B, 2, FALSE), 0)</f>
        <v>0</v>
      </c>
      <c r="N11" s="2">
        <f t="shared" si="2"/>
        <v>0</v>
      </c>
      <c r="O11" s="2">
        <f t="shared" si="3"/>
        <v>0</v>
      </c>
      <c r="P11" s="2">
        <f>IF(Q11&lt;&gt;"", Q11, IFERROR(VLOOKUP(D11, '05_Margin_Engine'!A:B, 2, FALSE), 0))</f>
        <v>0</v>
      </c>
      <c r="R11" s="2">
        <f t="shared" si="4"/>
        <v>0</v>
      </c>
      <c r="S11" s="2">
        <f>(R11*'01_Control_Panel'!$B$3)+R11</f>
        <v>0</v>
      </c>
      <c r="T11" s="2">
        <f t="shared" si="5"/>
        <v>0</v>
      </c>
    </row>
    <row r="12" spans="1:20" ht="15.75" customHeight="1" x14ac:dyDescent="0.25">
      <c r="A12" s="2">
        <v>8</v>
      </c>
      <c r="B12" s="5"/>
      <c r="D12" s="2"/>
      <c r="E12" s="2">
        <v>1</v>
      </c>
      <c r="G12" s="2" t="str">
        <f>IFERROR(VLOOKUP(B12, '07_Supplier_List'!A:B, 2, FALSE), "USD")</f>
        <v>USD</v>
      </c>
      <c r="H12" s="2">
        <f>VLOOKUP(G12, '03_FX_Rates'!A:B, 2, FALSE)</f>
        <v>2.25</v>
      </c>
      <c r="I12" s="2">
        <f t="shared" si="0"/>
        <v>0</v>
      </c>
      <c r="J12" s="2" t="s">
        <v>33</v>
      </c>
      <c r="K12" s="2">
        <v>0.05</v>
      </c>
      <c r="L12" s="2">
        <f t="shared" si="1"/>
        <v>0</v>
      </c>
      <c r="M12" s="2">
        <f>IFERROR(VLOOKUP(D12, '04_Logistics_Taxes'!A:B, 2, FALSE), 0)</f>
        <v>0</v>
      </c>
      <c r="N12" s="2">
        <f t="shared" si="2"/>
        <v>0</v>
      </c>
      <c r="O12" s="2">
        <f t="shared" si="3"/>
        <v>0</v>
      </c>
      <c r="P12" s="2">
        <f>IF(Q12&lt;&gt;"", Q12, IFERROR(VLOOKUP(D12, '05_Margin_Engine'!A:B, 2, FALSE), 0))</f>
        <v>0</v>
      </c>
      <c r="R12" s="2">
        <f t="shared" si="4"/>
        <v>0</v>
      </c>
      <c r="S12" s="2">
        <f>(R12*'01_Control_Panel'!$B$3)+R12</f>
        <v>0</v>
      </c>
      <c r="T12" s="2">
        <f t="shared" si="5"/>
        <v>0</v>
      </c>
    </row>
    <row r="13" spans="1:20" ht="15.75" customHeight="1" x14ac:dyDescent="0.25">
      <c r="A13" s="2">
        <v>9</v>
      </c>
      <c r="B13" s="5"/>
      <c r="D13" s="2"/>
      <c r="E13" s="2">
        <v>1</v>
      </c>
      <c r="G13" s="2" t="str">
        <f>IFERROR(VLOOKUP(B13, '07_Supplier_List'!A:B, 2, FALSE), "USD")</f>
        <v>USD</v>
      </c>
      <c r="H13" s="2">
        <f>VLOOKUP(G13, '03_FX_Rates'!A:B, 2, FALSE)</f>
        <v>2.25</v>
      </c>
      <c r="I13" s="2">
        <f t="shared" si="0"/>
        <v>0</v>
      </c>
      <c r="J13" s="2" t="s">
        <v>33</v>
      </c>
      <c r="K13" s="2">
        <v>0.05</v>
      </c>
      <c r="L13" s="2">
        <f t="shared" si="1"/>
        <v>0</v>
      </c>
      <c r="M13" s="2">
        <f>IFERROR(VLOOKUP(D13, '04_Logistics_Taxes'!A:B, 2, FALSE), 0)</f>
        <v>0</v>
      </c>
      <c r="N13" s="2">
        <f t="shared" si="2"/>
        <v>0</v>
      </c>
      <c r="O13" s="2">
        <f t="shared" si="3"/>
        <v>0</v>
      </c>
      <c r="P13" s="2">
        <f>IF(Q13&lt;&gt;"", Q13, IFERROR(VLOOKUP(D13, '05_Margin_Engine'!A:B, 2, FALSE), 0))</f>
        <v>0</v>
      </c>
      <c r="R13" s="2">
        <f t="shared" si="4"/>
        <v>0</v>
      </c>
      <c r="S13" s="2">
        <f>(R13*'01_Control_Panel'!$B$3)+R13</f>
        <v>0</v>
      </c>
      <c r="T13" s="2">
        <f t="shared" si="5"/>
        <v>0</v>
      </c>
    </row>
    <row r="14" spans="1:20" ht="15.75" customHeight="1" x14ac:dyDescent="0.25">
      <c r="A14" s="2">
        <v>10</v>
      </c>
      <c r="B14" s="5"/>
      <c r="D14" s="2"/>
      <c r="E14" s="2">
        <v>1</v>
      </c>
      <c r="G14" s="2" t="str">
        <f>IFERROR(VLOOKUP(B14, '07_Supplier_List'!A:B, 2, FALSE), "USD")</f>
        <v>USD</v>
      </c>
      <c r="H14" s="2">
        <f>VLOOKUP(G14, '03_FX_Rates'!A:B, 2, FALSE)</f>
        <v>2.25</v>
      </c>
      <c r="I14" s="2">
        <f t="shared" si="0"/>
        <v>0</v>
      </c>
      <c r="J14" s="2" t="s">
        <v>33</v>
      </c>
      <c r="K14" s="2">
        <v>0.05</v>
      </c>
      <c r="L14" s="2">
        <f t="shared" si="1"/>
        <v>0</v>
      </c>
      <c r="M14" s="2">
        <f>IFERROR(VLOOKUP(D14, '04_Logistics_Taxes'!A:B, 2, FALSE), 0)</f>
        <v>0</v>
      </c>
      <c r="N14" s="2">
        <f t="shared" si="2"/>
        <v>0</v>
      </c>
      <c r="O14" s="2">
        <f t="shared" si="3"/>
        <v>0</v>
      </c>
      <c r="P14" s="2">
        <f>IF(Q14&lt;&gt;"", Q14, IFERROR(VLOOKUP(D14, '05_Margin_Engine'!A:B, 2, FALSE), 0))</f>
        <v>0</v>
      </c>
      <c r="R14" s="2">
        <f t="shared" si="4"/>
        <v>0</v>
      </c>
      <c r="S14" s="2">
        <f>(R14*'01_Control_Panel'!$B$3)+R14</f>
        <v>0</v>
      </c>
      <c r="T14" s="2">
        <f t="shared" si="5"/>
        <v>0</v>
      </c>
    </row>
    <row r="15" spans="1:20" ht="15.75" customHeight="1" x14ac:dyDescent="0.25">
      <c r="A15" s="2">
        <v>11</v>
      </c>
      <c r="B15" s="5"/>
      <c r="D15" s="2"/>
      <c r="E15" s="2">
        <v>1</v>
      </c>
      <c r="G15" s="2" t="str">
        <f>IFERROR(VLOOKUP(B15, '07_Supplier_List'!A:B, 2, FALSE), "USD")</f>
        <v>USD</v>
      </c>
      <c r="H15" s="2">
        <f>VLOOKUP(G15, '03_FX_Rates'!A:B, 2, FALSE)</f>
        <v>2.25</v>
      </c>
      <c r="I15" s="2">
        <f t="shared" si="0"/>
        <v>0</v>
      </c>
      <c r="J15" s="2" t="s">
        <v>33</v>
      </c>
      <c r="K15" s="2">
        <v>0.05</v>
      </c>
      <c r="L15" s="2">
        <f t="shared" si="1"/>
        <v>0</v>
      </c>
      <c r="M15" s="2">
        <f>IFERROR(VLOOKUP(D15, '04_Logistics_Taxes'!A:B, 2, FALSE), 0)</f>
        <v>0</v>
      </c>
      <c r="N15" s="2">
        <f t="shared" si="2"/>
        <v>0</v>
      </c>
      <c r="O15" s="2">
        <f t="shared" si="3"/>
        <v>0</v>
      </c>
      <c r="P15" s="2">
        <f>IF(Q15&lt;&gt;"", Q15, IFERROR(VLOOKUP(D15, '05_Margin_Engine'!A:B, 2, FALSE), 0))</f>
        <v>0</v>
      </c>
      <c r="R15" s="2">
        <f t="shared" si="4"/>
        <v>0</v>
      </c>
      <c r="S15" s="2">
        <f>(R15*'01_Control_Panel'!$B$3)+R15</f>
        <v>0</v>
      </c>
      <c r="T15" s="2">
        <f t="shared" si="5"/>
        <v>0</v>
      </c>
    </row>
    <row r="16" spans="1:20" ht="15.75" customHeight="1" x14ac:dyDescent="0.25">
      <c r="A16" s="2">
        <v>12</v>
      </c>
      <c r="B16" s="5"/>
      <c r="D16" s="2"/>
      <c r="E16" s="2">
        <v>1</v>
      </c>
      <c r="G16" s="2" t="str">
        <f>IFERROR(VLOOKUP(B16, '07_Supplier_List'!A:B, 2, FALSE), "USD")</f>
        <v>USD</v>
      </c>
      <c r="H16" s="2">
        <f>VLOOKUP(G16, '03_FX_Rates'!A:B, 2, FALSE)</f>
        <v>2.25</v>
      </c>
      <c r="I16" s="2">
        <f t="shared" si="0"/>
        <v>0</v>
      </c>
      <c r="J16" s="2" t="s">
        <v>33</v>
      </c>
      <c r="K16" s="2">
        <v>0.05</v>
      </c>
      <c r="L16" s="2">
        <f t="shared" si="1"/>
        <v>0</v>
      </c>
      <c r="M16" s="2">
        <f>IFERROR(VLOOKUP(D16, '04_Logistics_Taxes'!A:B, 2, FALSE), 0)</f>
        <v>0</v>
      </c>
      <c r="N16" s="2">
        <f t="shared" si="2"/>
        <v>0</v>
      </c>
      <c r="O16" s="2">
        <f t="shared" si="3"/>
        <v>0</v>
      </c>
      <c r="P16" s="2">
        <f>IF(Q16&lt;&gt;"", Q16, IFERROR(VLOOKUP(D16, '05_Margin_Engine'!A:B, 2, FALSE), 0))</f>
        <v>0</v>
      </c>
      <c r="R16" s="2">
        <f t="shared" si="4"/>
        <v>0</v>
      </c>
      <c r="S16" s="2">
        <f>(R16*'01_Control_Panel'!$B$3)+R16</f>
        <v>0</v>
      </c>
      <c r="T16" s="2">
        <f t="shared" si="5"/>
        <v>0</v>
      </c>
    </row>
    <row r="17" spans="1:20" ht="15.75" customHeight="1" x14ac:dyDescent="0.25">
      <c r="A17" s="2">
        <v>13</v>
      </c>
      <c r="B17" s="5"/>
      <c r="D17" s="2"/>
      <c r="E17" s="2">
        <v>1</v>
      </c>
      <c r="G17" s="2" t="str">
        <f>IFERROR(VLOOKUP(B17, '07_Supplier_List'!A:B, 2, FALSE), "USD")</f>
        <v>USD</v>
      </c>
      <c r="H17" s="2">
        <f>VLOOKUP(G17, '03_FX_Rates'!A:B, 2, FALSE)</f>
        <v>2.25</v>
      </c>
      <c r="I17" s="2">
        <f t="shared" si="0"/>
        <v>0</v>
      </c>
      <c r="J17" s="2" t="s">
        <v>33</v>
      </c>
      <c r="K17" s="2">
        <v>0.05</v>
      </c>
      <c r="L17" s="2">
        <f t="shared" si="1"/>
        <v>0</v>
      </c>
      <c r="M17" s="2">
        <f>IFERROR(VLOOKUP(D17, '04_Logistics_Taxes'!A:B, 2, FALSE), 0)</f>
        <v>0</v>
      </c>
      <c r="N17" s="2">
        <f t="shared" si="2"/>
        <v>0</v>
      </c>
      <c r="O17" s="2">
        <f t="shared" si="3"/>
        <v>0</v>
      </c>
      <c r="P17" s="2">
        <f>IF(Q17&lt;&gt;"", Q17, IFERROR(VLOOKUP(D17, '05_Margin_Engine'!A:B, 2, FALSE), 0))</f>
        <v>0</v>
      </c>
      <c r="R17" s="2">
        <f t="shared" si="4"/>
        <v>0</v>
      </c>
      <c r="S17" s="2">
        <f>(R17*'01_Control_Panel'!$B$3)+R17</f>
        <v>0</v>
      </c>
      <c r="T17" s="2">
        <f t="shared" si="5"/>
        <v>0</v>
      </c>
    </row>
    <row r="18" spans="1:20" ht="15.75" customHeight="1" x14ac:dyDescent="0.25">
      <c r="A18" s="2">
        <v>14</v>
      </c>
      <c r="B18" s="5"/>
      <c r="D18" s="2"/>
      <c r="E18" s="2">
        <v>1</v>
      </c>
      <c r="G18" s="2" t="str">
        <f>IFERROR(VLOOKUP(B18, '07_Supplier_List'!A:B, 2, FALSE), "USD")</f>
        <v>USD</v>
      </c>
      <c r="H18" s="2">
        <f>VLOOKUP(G18, '03_FX_Rates'!A:B, 2, FALSE)</f>
        <v>2.25</v>
      </c>
      <c r="I18" s="2">
        <f t="shared" si="0"/>
        <v>0</v>
      </c>
      <c r="J18" s="2" t="s">
        <v>33</v>
      </c>
      <c r="K18" s="2">
        <v>0.05</v>
      </c>
      <c r="L18" s="2">
        <f t="shared" si="1"/>
        <v>0</v>
      </c>
      <c r="M18" s="2">
        <f>IFERROR(VLOOKUP(D18, '04_Logistics_Taxes'!A:B, 2, FALSE), 0)</f>
        <v>0</v>
      </c>
      <c r="N18" s="2">
        <f t="shared" si="2"/>
        <v>0</v>
      </c>
      <c r="O18" s="2">
        <f t="shared" si="3"/>
        <v>0</v>
      </c>
      <c r="P18" s="2">
        <f>IF(Q18&lt;&gt;"", Q18, IFERROR(VLOOKUP(D18, '05_Margin_Engine'!A:B, 2, FALSE), 0))</f>
        <v>0</v>
      </c>
      <c r="R18" s="2">
        <f t="shared" si="4"/>
        <v>0</v>
      </c>
      <c r="S18" s="2">
        <f>(R18*'01_Control_Panel'!$B$3)+R18</f>
        <v>0</v>
      </c>
      <c r="T18" s="2">
        <f t="shared" si="5"/>
        <v>0</v>
      </c>
    </row>
    <row r="19" spans="1:20" ht="15.75" customHeight="1" x14ac:dyDescent="0.25">
      <c r="A19" s="2">
        <v>15</v>
      </c>
      <c r="B19" s="5"/>
      <c r="D19" s="2"/>
      <c r="E19" s="2">
        <v>1</v>
      </c>
      <c r="G19" s="2" t="str">
        <f>IFERROR(VLOOKUP(B19, '07_Supplier_List'!A:B, 2, FALSE), "USD")</f>
        <v>USD</v>
      </c>
      <c r="H19" s="2">
        <f>VLOOKUP(G19, '03_FX_Rates'!A:B, 2, FALSE)</f>
        <v>2.25</v>
      </c>
      <c r="I19" s="2">
        <f t="shared" si="0"/>
        <v>0</v>
      </c>
      <c r="J19" s="2" t="s">
        <v>33</v>
      </c>
      <c r="K19" s="2">
        <v>0.05</v>
      </c>
      <c r="L19" s="2">
        <f t="shared" si="1"/>
        <v>0</v>
      </c>
      <c r="M19" s="2">
        <f>IFERROR(VLOOKUP(D19, '04_Logistics_Taxes'!A:B, 2, FALSE), 0)</f>
        <v>0</v>
      </c>
      <c r="N19" s="2">
        <f t="shared" si="2"/>
        <v>0</v>
      </c>
      <c r="O19" s="2">
        <f t="shared" si="3"/>
        <v>0</v>
      </c>
      <c r="P19" s="2">
        <f>IF(Q19&lt;&gt;"", Q19, IFERROR(VLOOKUP(D19, '05_Margin_Engine'!A:B, 2, FALSE), 0))</f>
        <v>0</v>
      </c>
      <c r="R19" s="2">
        <f t="shared" si="4"/>
        <v>0</v>
      </c>
      <c r="S19" s="2">
        <f>(R19*'01_Control_Panel'!$B$3)+R19</f>
        <v>0</v>
      </c>
      <c r="T19" s="2">
        <f t="shared" si="5"/>
        <v>0</v>
      </c>
    </row>
    <row r="20" spans="1:20" ht="15.75" customHeight="1" x14ac:dyDescent="0.25">
      <c r="A20" s="2">
        <v>16</v>
      </c>
      <c r="B20" s="5"/>
      <c r="D20" s="2"/>
      <c r="E20" s="2">
        <v>1</v>
      </c>
      <c r="G20" s="2" t="str">
        <f>IFERROR(VLOOKUP(B20, '07_Supplier_List'!A:B, 2, FALSE), "USD")</f>
        <v>USD</v>
      </c>
      <c r="H20" s="2">
        <f>VLOOKUP(G20, '03_FX_Rates'!A:B, 2, FALSE)</f>
        <v>2.25</v>
      </c>
      <c r="I20" s="2">
        <f t="shared" si="0"/>
        <v>0</v>
      </c>
      <c r="J20" s="2" t="s">
        <v>33</v>
      </c>
      <c r="K20" s="2">
        <v>0.05</v>
      </c>
      <c r="L20" s="2">
        <f t="shared" si="1"/>
        <v>0</v>
      </c>
      <c r="M20" s="2">
        <f>IFERROR(VLOOKUP(D20, '04_Logistics_Taxes'!A:B, 2, FALSE), 0)</f>
        <v>0</v>
      </c>
      <c r="N20" s="2">
        <f t="shared" si="2"/>
        <v>0</v>
      </c>
      <c r="O20" s="2">
        <f t="shared" si="3"/>
        <v>0</v>
      </c>
      <c r="P20" s="2">
        <f>IF(Q20&lt;&gt;"", Q20, IFERROR(VLOOKUP(D20, '05_Margin_Engine'!A:B, 2, FALSE), 0))</f>
        <v>0</v>
      </c>
      <c r="R20" s="2">
        <f t="shared" si="4"/>
        <v>0</v>
      </c>
      <c r="S20" s="2">
        <f>(R20*'01_Control_Panel'!$B$3)+R20</f>
        <v>0</v>
      </c>
      <c r="T20" s="2">
        <f t="shared" si="5"/>
        <v>0</v>
      </c>
    </row>
    <row r="21" spans="1:20" ht="15.75" customHeight="1" x14ac:dyDescent="0.25">
      <c r="A21" s="2">
        <v>17</v>
      </c>
      <c r="B21" s="5"/>
      <c r="D21" s="2"/>
      <c r="E21" s="2">
        <v>1</v>
      </c>
      <c r="G21" s="2" t="str">
        <f>IFERROR(VLOOKUP(B21, '07_Supplier_List'!A:B, 2, FALSE), "USD")</f>
        <v>USD</v>
      </c>
      <c r="H21" s="2">
        <f>VLOOKUP(G21, '03_FX_Rates'!A:B, 2, FALSE)</f>
        <v>2.25</v>
      </c>
      <c r="I21" s="2">
        <f t="shared" si="0"/>
        <v>0</v>
      </c>
      <c r="J21" s="2" t="s">
        <v>33</v>
      </c>
      <c r="K21" s="2">
        <v>0.05</v>
      </c>
      <c r="L21" s="2">
        <f t="shared" si="1"/>
        <v>0</v>
      </c>
      <c r="M21" s="2">
        <f>IFERROR(VLOOKUP(D21, '04_Logistics_Taxes'!A:B, 2, FALSE), 0)</f>
        <v>0</v>
      </c>
      <c r="N21" s="2">
        <f t="shared" si="2"/>
        <v>0</v>
      </c>
      <c r="O21" s="2">
        <f t="shared" si="3"/>
        <v>0</v>
      </c>
      <c r="P21" s="2">
        <f>IF(Q21&lt;&gt;"", Q21, IFERROR(VLOOKUP(D21, '05_Margin_Engine'!A:B, 2, FALSE), 0))</f>
        <v>0</v>
      </c>
      <c r="R21" s="2">
        <f t="shared" si="4"/>
        <v>0</v>
      </c>
      <c r="S21" s="2">
        <f>(R21*'01_Control_Panel'!$B$3)+R21</f>
        <v>0</v>
      </c>
      <c r="T21" s="2">
        <f t="shared" si="5"/>
        <v>0</v>
      </c>
    </row>
    <row r="22" spans="1:20" ht="15.75" customHeight="1" x14ac:dyDescent="0.25">
      <c r="A22" s="2">
        <v>18</v>
      </c>
      <c r="B22" s="5"/>
      <c r="D22" s="2"/>
      <c r="E22" s="2">
        <v>1</v>
      </c>
      <c r="G22" s="2" t="str">
        <f>IFERROR(VLOOKUP(B22, '07_Supplier_List'!A:B, 2, FALSE), "USD")</f>
        <v>USD</v>
      </c>
      <c r="H22" s="2">
        <f>VLOOKUP(G22, '03_FX_Rates'!A:B, 2, FALSE)</f>
        <v>2.25</v>
      </c>
      <c r="I22" s="2">
        <f t="shared" si="0"/>
        <v>0</v>
      </c>
      <c r="J22" s="2" t="s">
        <v>33</v>
      </c>
      <c r="K22" s="2">
        <v>0.05</v>
      </c>
      <c r="L22" s="2">
        <f t="shared" si="1"/>
        <v>0</v>
      </c>
      <c r="M22" s="2">
        <f>IFERROR(VLOOKUP(D22, '04_Logistics_Taxes'!A:B, 2, FALSE), 0)</f>
        <v>0</v>
      </c>
      <c r="N22" s="2">
        <f t="shared" si="2"/>
        <v>0</v>
      </c>
      <c r="O22" s="2">
        <f t="shared" si="3"/>
        <v>0</v>
      </c>
      <c r="P22" s="2">
        <f>IF(Q22&lt;&gt;"", Q22, IFERROR(VLOOKUP(D22, '05_Margin_Engine'!A:B, 2, FALSE), 0))</f>
        <v>0</v>
      </c>
      <c r="R22" s="2">
        <f t="shared" si="4"/>
        <v>0</v>
      </c>
      <c r="S22" s="2">
        <f>(R22*'01_Control_Panel'!$B$3)+R22</f>
        <v>0</v>
      </c>
      <c r="T22" s="2">
        <f t="shared" si="5"/>
        <v>0</v>
      </c>
    </row>
    <row r="23" spans="1:20" ht="15.75" customHeight="1" x14ac:dyDescent="0.25">
      <c r="A23" s="2">
        <v>19</v>
      </c>
      <c r="B23" s="5"/>
      <c r="D23" s="2"/>
      <c r="E23" s="2">
        <v>1</v>
      </c>
      <c r="G23" s="2" t="str">
        <f>IFERROR(VLOOKUP(B23, '07_Supplier_List'!A:B, 2, FALSE), "USD")</f>
        <v>USD</v>
      </c>
      <c r="H23" s="2">
        <f>VLOOKUP(G23, '03_FX_Rates'!A:B, 2, FALSE)</f>
        <v>2.25</v>
      </c>
      <c r="I23" s="2">
        <f t="shared" si="0"/>
        <v>0</v>
      </c>
      <c r="J23" s="2" t="s">
        <v>33</v>
      </c>
      <c r="K23" s="2">
        <v>0.05</v>
      </c>
      <c r="L23" s="2">
        <f t="shared" si="1"/>
        <v>0</v>
      </c>
      <c r="M23" s="2">
        <f>IFERROR(VLOOKUP(D23, '04_Logistics_Taxes'!A:B, 2, FALSE), 0)</f>
        <v>0</v>
      </c>
      <c r="N23" s="2">
        <f t="shared" si="2"/>
        <v>0</v>
      </c>
      <c r="O23" s="2">
        <f t="shared" si="3"/>
        <v>0</v>
      </c>
      <c r="P23" s="2">
        <f>IF(Q23&lt;&gt;"", Q23, IFERROR(VLOOKUP(D23, '05_Margin_Engine'!A:B, 2, FALSE), 0))</f>
        <v>0</v>
      </c>
      <c r="R23" s="2">
        <f t="shared" si="4"/>
        <v>0</v>
      </c>
      <c r="S23" s="2">
        <f>(R23*'01_Control_Panel'!$B$3)+R23</f>
        <v>0</v>
      </c>
      <c r="T23" s="2">
        <f t="shared" si="5"/>
        <v>0</v>
      </c>
    </row>
    <row r="24" spans="1:20" ht="15.75" customHeight="1" x14ac:dyDescent="0.25">
      <c r="A24" s="2">
        <v>20</v>
      </c>
      <c r="B24" s="5"/>
      <c r="D24" s="2"/>
      <c r="E24" s="2">
        <v>1</v>
      </c>
      <c r="G24" s="2" t="str">
        <f>IFERROR(VLOOKUP(B24, '07_Supplier_List'!A:B, 2, FALSE), "USD")</f>
        <v>USD</v>
      </c>
      <c r="H24" s="2">
        <f>VLOOKUP(G24, '03_FX_Rates'!A:B, 2, FALSE)</f>
        <v>2.25</v>
      </c>
      <c r="I24" s="2">
        <f t="shared" si="0"/>
        <v>0</v>
      </c>
      <c r="J24" s="2" t="s">
        <v>33</v>
      </c>
      <c r="K24" s="2">
        <v>0.05</v>
      </c>
      <c r="L24" s="2">
        <f t="shared" si="1"/>
        <v>0</v>
      </c>
      <c r="M24" s="2">
        <f>IFERROR(VLOOKUP(D24, '04_Logistics_Taxes'!A:B, 2, FALSE), 0)</f>
        <v>0</v>
      </c>
      <c r="N24" s="2">
        <f t="shared" si="2"/>
        <v>0</v>
      </c>
      <c r="O24" s="2">
        <f t="shared" si="3"/>
        <v>0</v>
      </c>
      <c r="P24" s="2">
        <f>IF(Q24&lt;&gt;"", Q24, IFERROR(VLOOKUP(D24, '05_Margin_Engine'!A:B, 2, FALSE), 0))</f>
        <v>0</v>
      </c>
      <c r="R24" s="2">
        <f t="shared" si="4"/>
        <v>0</v>
      </c>
      <c r="S24" s="2">
        <f>(R24*'01_Control_Panel'!$B$3)+R24</f>
        <v>0</v>
      </c>
      <c r="T24" s="2">
        <f t="shared" si="5"/>
        <v>0</v>
      </c>
    </row>
    <row r="25" spans="1:20" ht="15.75" customHeight="1" x14ac:dyDescent="0.25">
      <c r="A25" s="2">
        <v>21</v>
      </c>
      <c r="B25" s="5"/>
      <c r="D25" s="2"/>
      <c r="E25" s="2">
        <v>1</v>
      </c>
      <c r="G25" s="2" t="str">
        <f>IFERROR(VLOOKUP(B25, '07_Supplier_List'!A:B, 2, FALSE), "USD")</f>
        <v>USD</v>
      </c>
      <c r="H25" s="2">
        <f>VLOOKUP(G25, '03_FX_Rates'!A:B, 2, FALSE)</f>
        <v>2.25</v>
      </c>
      <c r="I25" s="2">
        <f t="shared" si="0"/>
        <v>0</v>
      </c>
      <c r="J25" s="2" t="s">
        <v>33</v>
      </c>
      <c r="K25" s="2">
        <v>0.05</v>
      </c>
      <c r="L25" s="2">
        <f t="shared" si="1"/>
        <v>0</v>
      </c>
      <c r="M25" s="2">
        <f>IFERROR(VLOOKUP(D25, '04_Logistics_Taxes'!A:B, 2, FALSE), 0)</f>
        <v>0</v>
      </c>
      <c r="N25" s="2">
        <f t="shared" si="2"/>
        <v>0</v>
      </c>
      <c r="O25" s="2">
        <f t="shared" si="3"/>
        <v>0</v>
      </c>
      <c r="P25" s="2">
        <f>IF(Q25&lt;&gt;"", Q25, IFERROR(VLOOKUP(D25, '05_Margin_Engine'!A:B, 2, FALSE), 0))</f>
        <v>0</v>
      </c>
      <c r="R25" s="2">
        <f t="shared" si="4"/>
        <v>0</v>
      </c>
      <c r="S25" s="2">
        <f>(R25*'01_Control_Panel'!$B$3)+R25</f>
        <v>0</v>
      </c>
      <c r="T25" s="2">
        <f t="shared" si="5"/>
        <v>0</v>
      </c>
    </row>
    <row r="26" spans="1:20" ht="15.75" customHeight="1" x14ac:dyDescent="0.25">
      <c r="A26" s="2">
        <v>22</v>
      </c>
      <c r="B26" s="5"/>
      <c r="D26" s="2"/>
      <c r="E26" s="2">
        <v>1</v>
      </c>
      <c r="G26" s="2" t="str">
        <f>IFERROR(VLOOKUP(B26, '07_Supplier_List'!A:B, 2, FALSE), "USD")</f>
        <v>USD</v>
      </c>
      <c r="H26" s="2">
        <f>VLOOKUP(G26, '03_FX_Rates'!A:B, 2, FALSE)</f>
        <v>2.25</v>
      </c>
      <c r="I26" s="2">
        <f t="shared" si="0"/>
        <v>0</v>
      </c>
      <c r="J26" s="2" t="s">
        <v>33</v>
      </c>
      <c r="K26" s="2">
        <v>0.05</v>
      </c>
      <c r="L26" s="2">
        <f t="shared" si="1"/>
        <v>0</v>
      </c>
      <c r="M26" s="2">
        <f>IFERROR(VLOOKUP(D26, '04_Logistics_Taxes'!A:B, 2, FALSE), 0)</f>
        <v>0</v>
      </c>
      <c r="N26" s="2">
        <f t="shared" si="2"/>
        <v>0</v>
      </c>
      <c r="O26" s="2">
        <f t="shared" si="3"/>
        <v>0</v>
      </c>
      <c r="P26" s="2">
        <f>IF(Q26&lt;&gt;"", Q26, IFERROR(VLOOKUP(D26, '05_Margin_Engine'!A:B, 2, FALSE), 0))</f>
        <v>0</v>
      </c>
      <c r="R26" s="2">
        <f t="shared" si="4"/>
        <v>0</v>
      </c>
      <c r="S26" s="2">
        <f>(R26*'01_Control_Panel'!$B$3)+R26</f>
        <v>0</v>
      </c>
      <c r="T26" s="2">
        <f t="shared" si="5"/>
        <v>0</v>
      </c>
    </row>
    <row r="27" spans="1:20" ht="15.75" customHeight="1" x14ac:dyDescent="0.25">
      <c r="A27" s="2">
        <v>23</v>
      </c>
      <c r="B27" s="5"/>
      <c r="D27" s="2"/>
      <c r="E27" s="2">
        <v>1</v>
      </c>
      <c r="G27" s="2" t="str">
        <f>IFERROR(VLOOKUP(B27, '07_Supplier_List'!A:B, 2, FALSE), "USD")</f>
        <v>USD</v>
      </c>
      <c r="H27" s="2">
        <f>VLOOKUP(G27, '03_FX_Rates'!A:B, 2, FALSE)</f>
        <v>2.25</v>
      </c>
      <c r="I27" s="2">
        <f t="shared" si="0"/>
        <v>0</v>
      </c>
      <c r="J27" s="2" t="s">
        <v>33</v>
      </c>
      <c r="K27" s="2">
        <v>0.05</v>
      </c>
      <c r="L27" s="2">
        <f t="shared" si="1"/>
        <v>0</v>
      </c>
      <c r="M27" s="2">
        <f>IFERROR(VLOOKUP(D27, '04_Logistics_Taxes'!A:B, 2, FALSE), 0)</f>
        <v>0</v>
      </c>
      <c r="N27" s="2">
        <f t="shared" si="2"/>
        <v>0</v>
      </c>
      <c r="O27" s="2">
        <f t="shared" si="3"/>
        <v>0</v>
      </c>
      <c r="P27" s="2">
        <f>IF(Q27&lt;&gt;"", Q27, IFERROR(VLOOKUP(D27, '05_Margin_Engine'!A:B, 2, FALSE), 0))</f>
        <v>0</v>
      </c>
      <c r="R27" s="2">
        <f t="shared" si="4"/>
        <v>0</v>
      </c>
      <c r="S27" s="2">
        <f>(R27*'01_Control_Panel'!$B$3)+R27</f>
        <v>0</v>
      </c>
      <c r="T27" s="2">
        <f t="shared" si="5"/>
        <v>0</v>
      </c>
    </row>
    <row r="28" spans="1:20" ht="15.75" customHeight="1" x14ac:dyDescent="0.25">
      <c r="A28" s="2">
        <v>24</v>
      </c>
      <c r="B28" s="5"/>
      <c r="D28" s="2"/>
      <c r="E28" s="2">
        <v>1</v>
      </c>
      <c r="G28" s="2" t="str">
        <f>IFERROR(VLOOKUP(B28, '07_Supplier_List'!A:B, 2, FALSE), "USD")</f>
        <v>USD</v>
      </c>
      <c r="H28" s="2">
        <f>VLOOKUP(G28, '03_FX_Rates'!A:B, 2, FALSE)</f>
        <v>2.25</v>
      </c>
      <c r="I28" s="2">
        <f t="shared" si="0"/>
        <v>0</v>
      </c>
      <c r="J28" s="2" t="s">
        <v>33</v>
      </c>
      <c r="K28" s="2">
        <v>0.05</v>
      </c>
      <c r="L28" s="2">
        <f t="shared" si="1"/>
        <v>0</v>
      </c>
      <c r="M28" s="2">
        <f>IFERROR(VLOOKUP(D28, '04_Logistics_Taxes'!A:B, 2, FALSE), 0)</f>
        <v>0</v>
      </c>
      <c r="N28" s="2">
        <f t="shared" si="2"/>
        <v>0</v>
      </c>
      <c r="O28" s="2">
        <f t="shared" si="3"/>
        <v>0</v>
      </c>
      <c r="P28" s="2">
        <f>IF(Q28&lt;&gt;"", Q28, IFERROR(VLOOKUP(D28, '05_Margin_Engine'!A:B, 2, FALSE), 0))</f>
        <v>0</v>
      </c>
      <c r="R28" s="2">
        <f t="shared" si="4"/>
        <v>0</v>
      </c>
      <c r="S28" s="2">
        <f>(R28*'01_Control_Panel'!$B$3)+R28</f>
        <v>0</v>
      </c>
      <c r="T28" s="2">
        <f t="shared" si="5"/>
        <v>0</v>
      </c>
    </row>
    <row r="29" spans="1:20" ht="15.75" customHeight="1" x14ac:dyDescent="0.25">
      <c r="A29" s="2">
        <v>25</v>
      </c>
      <c r="B29" s="5"/>
      <c r="D29" s="2"/>
      <c r="E29" s="2">
        <v>1</v>
      </c>
      <c r="G29" s="2" t="str">
        <f>IFERROR(VLOOKUP(B29, '07_Supplier_List'!A:B, 2, FALSE), "USD")</f>
        <v>USD</v>
      </c>
      <c r="H29" s="2">
        <f>VLOOKUP(G29, '03_FX_Rates'!A:B, 2, FALSE)</f>
        <v>2.25</v>
      </c>
      <c r="I29" s="2">
        <f t="shared" si="0"/>
        <v>0</v>
      </c>
      <c r="J29" s="2" t="s">
        <v>33</v>
      </c>
      <c r="K29" s="2">
        <v>0.05</v>
      </c>
      <c r="L29" s="2">
        <f t="shared" si="1"/>
        <v>0</v>
      </c>
      <c r="M29" s="2">
        <f>IFERROR(VLOOKUP(D29, '04_Logistics_Taxes'!A:B, 2, FALSE), 0)</f>
        <v>0</v>
      </c>
      <c r="N29" s="2">
        <f t="shared" si="2"/>
        <v>0</v>
      </c>
      <c r="O29" s="2">
        <f t="shared" si="3"/>
        <v>0</v>
      </c>
      <c r="P29" s="2">
        <f>IF(Q29&lt;&gt;"", Q29, IFERROR(VLOOKUP(D29, '05_Margin_Engine'!A:B, 2, FALSE), 0))</f>
        <v>0</v>
      </c>
      <c r="R29" s="2">
        <f t="shared" si="4"/>
        <v>0</v>
      </c>
      <c r="S29" s="2">
        <f>(R29*'01_Control_Panel'!$B$3)+R29</f>
        <v>0</v>
      </c>
      <c r="T29" s="2">
        <f t="shared" si="5"/>
        <v>0</v>
      </c>
    </row>
    <row r="30" spans="1:20" ht="15.75" customHeight="1" x14ac:dyDescent="0.25">
      <c r="A30" s="2">
        <v>26</v>
      </c>
      <c r="B30" s="5"/>
      <c r="D30" s="2"/>
      <c r="E30" s="2">
        <v>1</v>
      </c>
      <c r="G30" s="2" t="str">
        <f>IFERROR(VLOOKUP(B30, '07_Supplier_List'!A:B, 2, FALSE), "USD")</f>
        <v>USD</v>
      </c>
      <c r="H30" s="2">
        <f>VLOOKUP(G30, '03_FX_Rates'!A:B, 2, FALSE)</f>
        <v>2.25</v>
      </c>
      <c r="I30" s="2">
        <f t="shared" si="0"/>
        <v>0</v>
      </c>
      <c r="J30" s="2" t="s">
        <v>33</v>
      </c>
      <c r="K30" s="2">
        <v>0.05</v>
      </c>
      <c r="L30" s="2">
        <f t="shared" si="1"/>
        <v>0</v>
      </c>
      <c r="M30" s="2">
        <f>IFERROR(VLOOKUP(D30, '04_Logistics_Taxes'!A:B, 2, FALSE), 0)</f>
        <v>0</v>
      </c>
      <c r="N30" s="2">
        <f t="shared" si="2"/>
        <v>0</v>
      </c>
      <c r="O30" s="2">
        <f t="shared" si="3"/>
        <v>0</v>
      </c>
      <c r="P30" s="2">
        <f>IF(Q30&lt;&gt;"", Q30, IFERROR(VLOOKUP(D30, '05_Margin_Engine'!A:B, 2, FALSE), 0))</f>
        <v>0</v>
      </c>
      <c r="R30" s="2">
        <f t="shared" si="4"/>
        <v>0</v>
      </c>
      <c r="S30" s="2">
        <f>(R30*'01_Control_Panel'!$B$3)+R30</f>
        <v>0</v>
      </c>
      <c r="T30" s="2">
        <f t="shared" si="5"/>
        <v>0</v>
      </c>
    </row>
    <row r="31" spans="1:20" ht="15.75" customHeight="1" x14ac:dyDescent="0.25">
      <c r="A31" s="2">
        <v>27</v>
      </c>
      <c r="B31" s="5"/>
      <c r="D31" s="2"/>
      <c r="E31" s="2">
        <v>1</v>
      </c>
      <c r="G31" s="2" t="str">
        <f>IFERROR(VLOOKUP(B31, '07_Supplier_List'!A:B, 2, FALSE), "USD")</f>
        <v>USD</v>
      </c>
      <c r="H31" s="2">
        <f>VLOOKUP(G31, '03_FX_Rates'!A:B, 2, FALSE)</f>
        <v>2.25</v>
      </c>
      <c r="I31" s="2">
        <f t="shared" si="0"/>
        <v>0</v>
      </c>
      <c r="J31" s="2" t="s">
        <v>33</v>
      </c>
      <c r="K31" s="2">
        <v>0.05</v>
      </c>
      <c r="L31" s="2">
        <f t="shared" si="1"/>
        <v>0</v>
      </c>
      <c r="M31" s="2">
        <f>IFERROR(VLOOKUP(D31, '04_Logistics_Taxes'!A:B, 2, FALSE), 0)</f>
        <v>0</v>
      </c>
      <c r="N31" s="2">
        <f t="shared" si="2"/>
        <v>0</v>
      </c>
      <c r="O31" s="2">
        <f t="shared" si="3"/>
        <v>0</v>
      </c>
      <c r="P31" s="2">
        <f>IF(Q31&lt;&gt;"", Q31, IFERROR(VLOOKUP(D31, '05_Margin_Engine'!A:B, 2, FALSE), 0))</f>
        <v>0</v>
      </c>
      <c r="R31" s="2">
        <f t="shared" si="4"/>
        <v>0</v>
      </c>
      <c r="S31" s="2">
        <f>(R31*'01_Control_Panel'!$B$3)+R31</f>
        <v>0</v>
      </c>
      <c r="T31" s="2">
        <f t="shared" si="5"/>
        <v>0</v>
      </c>
    </row>
    <row r="32" spans="1:20" ht="15.75" customHeight="1" x14ac:dyDescent="0.25">
      <c r="A32" s="2">
        <v>28</v>
      </c>
      <c r="B32" s="5"/>
      <c r="D32" s="2"/>
      <c r="E32" s="2">
        <v>1</v>
      </c>
      <c r="G32" s="2" t="str">
        <f>IFERROR(VLOOKUP(B32, '07_Supplier_List'!A:B, 2, FALSE), "USD")</f>
        <v>USD</v>
      </c>
      <c r="H32" s="2">
        <f>VLOOKUP(G32, '03_FX_Rates'!A:B, 2, FALSE)</f>
        <v>2.25</v>
      </c>
      <c r="I32" s="2">
        <f t="shared" si="0"/>
        <v>0</v>
      </c>
      <c r="J32" s="2" t="s">
        <v>33</v>
      </c>
      <c r="K32" s="2">
        <v>0.05</v>
      </c>
      <c r="L32" s="2">
        <f t="shared" si="1"/>
        <v>0</v>
      </c>
      <c r="M32" s="2">
        <f>IFERROR(VLOOKUP(D32, '04_Logistics_Taxes'!A:B, 2, FALSE), 0)</f>
        <v>0</v>
      </c>
      <c r="N32" s="2">
        <f t="shared" si="2"/>
        <v>0</v>
      </c>
      <c r="O32" s="2">
        <f t="shared" si="3"/>
        <v>0</v>
      </c>
      <c r="P32" s="2">
        <f>IF(Q32&lt;&gt;"", Q32, IFERROR(VLOOKUP(D32, '05_Margin_Engine'!A:B, 2, FALSE), 0))</f>
        <v>0</v>
      </c>
      <c r="R32" s="2">
        <f t="shared" si="4"/>
        <v>0</v>
      </c>
      <c r="S32" s="2">
        <f>(R32*'01_Control_Panel'!$B$3)+R32</f>
        <v>0</v>
      </c>
      <c r="T32" s="2">
        <f t="shared" si="5"/>
        <v>0</v>
      </c>
    </row>
    <row r="33" spans="1:20" ht="15.75" customHeight="1" x14ac:dyDescent="0.25">
      <c r="A33" s="2">
        <v>29</v>
      </c>
      <c r="B33" s="5"/>
      <c r="D33" s="2"/>
      <c r="E33" s="2">
        <v>1</v>
      </c>
      <c r="G33" s="2" t="str">
        <f>IFERROR(VLOOKUP(B33, '07_Supplier_List'!A:B, 2, FALSE), "USD")</f>
        <v>USD</v>
      </c>
      <c r="H33" s="2">
        <f>VLOOKUP(G33, '03_FX_Rates'!A:B, 2, FALSE)</f>
        <v>2.25</v>
      </c>
      <c r="I33" s="2">
        <f t="shared" si="0"/>
        <v>0</v>
      </c>
      <c r="J33" s="2" t="s">
        <v>33</v>
      </c>
      <c r="K33" s="2">
        <v>0.05</v>
      </c>
      <c r="L33" s="2">
        <f t="shared" si="1"/>
        <v>0</v>
      </c>
      <c r="M33" s="2">
        <f>IFERROR(VLOOKUP(D33, '04_Logistics_Taxes'!A:B, 2, FALSE), 0)</f>
        <v>0</v>
      </c>
      <c r="N33" s="2">
        <f t="shared" si="2"/>
        <v>0</v>
      </c>
      <c r="O33" s="2">
        <f t="shared" si="3"/>
        <v>0</v>
      </c>
      <c r="P33" s="2">
        <f>IF(Q33&lt;&gt;"", Q33, IFERROR(VLOOKUP(D33, '05_Margin_Engine'!A:B, 2, FALSE), 0))</f>
        <v>0</v>
      </c>
      <c r="R33" s="2">
        <f t="shared" si="4"/>
        <v>0</v>
      </c>
      <c r="S33" s="2">
        <f>(R33*'01_Control_Panel'!$B$3)+R33</f>
        <v>0</v>
      </c>
      <c r="T33" s="2">
        <f t="shared" si="5"/>
        <v>0</v>
      </c>
    </row>
    <row r="34" spans="1:20" ht="15.75" customHeight="1" x14ac:dyDescent="0.25">
      <c r="A34" s="2">
        <v>30</v>
      </c>
      <c r="B34" s="5"/>
      <c r="D34" s="2"/>
      <c r="E34" s="2">
        <v>1</v>
      </c>
      <c r="G34" s="2" t="str">
        <f>IFERROR(VLOOKUP(B34, '07_Supplier_List'!A:B, 2, FALSE), "USD")</f>
        <v>USD</v>
      </c>
      <c r="H34" s="2">
        <f>VLOOKUP(G34, '03_FX_Rates'!A:B, 2, FALSE)</f>
        <v>2.25</v>
      </c>
      <c r="I34" s="2">
        <f t="shared" si="0"/>
        <v>0</v>
      </c>
      <c r="J34" s="2" t="s">
        <v>33</v>
      </c>
      <c r="K34" s="2">
        <v>0.05</v>
      </c>
      <c r="L34" s="2">
        <f t="shared" si="1"/>
        <v>0</v>
      </c>
      <c r="M34" s="2">
        <f>IFERROR(VLOOKUP(D34, '04_Logistics_Taxes'!A:B, 2, FALSE), 0)</f>
        <v>0</v>
      </c>
      <c r="N34" s="2">
        <f t="shared" si="2"/>
        <v>0</v>
      </c>
      <c r="O34" s="2">
        <f t="shared" si="3"/>
        <v>0</v>
      </c>
      <c r="P34" s="2">
        <f>IF(Q34&lt;&gt;"", Q34, IFERROR(VLOOKUP(D34, '05_Margin_Engine'!A:B, 2, FALSE), 0))</f>
        <v>0</v>
      </c>
      <c r="R34" s="2">
        <f t="shared" si="4"/>
        <v>0</v>
      </c>
      <c r="S34" s="2">
        <f>(R34*'01_Control_Panel'!$B$3)+R34</f>
        <v>0</v>
      </c>
      <c r="T34" s="2">
        <f t="shared" si="5"/>
        <v>0</v>
      </c>
    </row>
    <row r="35" spans="1:20" ht="15.75" customHeight="1" x14ac:dyDescent="0.25">
      <c r="A35" s="2">
        <v>31</v>
      </c>
      <c r="B35" s="5"/>
      <c r="D35" s="2"/>
      <c r="E35" s="2">
        <v>1</v>
      </c>
      <c r="G35" s="2" t="str">
        <f>IFERROR(VLOOKUP(B35, '07_Supplier_List'!A:B, 2, FALSE), "USD")</f>
        <v>USD</v>
      </c>
      <c r="H35" s="2">
        <f>VLOOKUP(G35, '03_FX_Rates'!A:B, 2, FALSE)</f>
        <v>2.25</v>
      </c>
      <c r="I35" s="2">
        <f t="shared" si="0"/>
        <v>0</v>
      </c>
      <c r="J35" s="2" t="s">
        <v>33</v>
      </c>
      <c r="K35" s="2">
        <v>0.05</v>
      </c>
      <c r="L35" s="2">
        <f t="shared" si="1"/>
        <v>0</v>
      </c>
      <c r="M35" s="2">
        <f>IFERROR(VLOOKUP(D35, '04_Logistics_Taxes'!A:B, 2, FALSE), 0)</f>
        <v>0</v>
      </c>
      <c r="N35" s="2">
        <f t="shared" si="2"/>
        <v>0</v>
      </c>
      <c r="O35" s="2">
        <f t="shared" si="3"/>
        <v>0</v>
      </c>
      <c r="P35" s="2">
        <f>IF(Q35&lt;&gt;"", Q35, IFERROR(VLOOKUP(D35, '05_Margin_Engine'!A:B, 2, FALSE), 0))</f>
        <v>0</v>
      </c>
      <c r="R35" s="2">
        <f t="shared" si="4"/>
        <v>0</v>
      </c>
      <c r="S35" s="2">
        <f>(R35*'01_Control_Panel'!$B$3)+R35</f>
        <v>0</v>
      </c>
      <c r="T35" s="2">
        <f t="shared" si="5"/>
        <v>0</v>
      </c>
    </row>
    <row r="36" spans="1:20" ht="15.75" customHeight="1" x14ac:dyDescent="0.25">
      <c r="A36" s="2">
        <v>32</v>
      </c>
      <c r="B36" s="5"/>
      <c r="D36" s="2"/>
      <c r="E36" s="2">
        <v>1</v>
      </c>
      <c r="G36" s="2" t="str">
        <f>IFERROR(VLOOKUP(B36, '07_Supplier_List'!A:B, 2, FALSE), "USD")</f>
        <v>USD</v>
      </c>
      <c r="H36" s="2">
        <f>VLOOKUP(G36, '03_FX_Rates'!A:B, 2, FALSE)</f>
        <v>2.25</v>
      </c>
      <c r="I36" s="2">
        <f t="shared" si="0"/>
        <v>0</v>
      </c>
      <c r="J36" s="2" t="s">
        <v>33</v>
      </c>
      <c r="K36" s="2">
        <v>0.05</v>
      </c>
      <c r="L36" s="2">
        <f t="shared" si="1"/>
        <v>0</v>
      </c>
      <c r="M36" s="2">
        <f>IFERROR(VLOOKUP(D36, '04_Logistics_Taxes'!A:B, 2, FALSE), 0)</f>
        <v>0</v>
      </c>
      <c r="N36" s="2">
        <f t="shared" si="2"/>
        <v>0</v>
      </c>
      <c r="O36" s="2">
        <f t="shared" si="3"/>
        <v>0</v>
      </c>
      <c r="P36" s="2">
        <f>IF(Q36&lt;&gt;"", Q36, IFERROR(VLOOKUP(D36, '05_Margin_Engine'!A:B, 2, FALSE), 0))</f>
        <v>0</v>
      </c>
      <c r="R36" s="2">
        <f t="shared" si="4"/>
        <v>0</v>
      </c>
      <c r="S36" s="2">
        <f>(R36*'01_Control_Panel'!$B$3)+R36</f>
        <v>0</v>
      </c>
      <c r="T36" s="2">
        <f t="shared" si="5"/>
        <v>0</v>
      </c>
    </row>
    <row r="37" spans="1:20" ht="15.75" customHeight="1" x14ac:dyDescent="0.25">
      <c r="A37" s="2">
        <v>33</v>
      </c>
      <c r="B37" s="5"/>
      <c r="D37" s="2"/>
      <c r="E37" s="2">
        <v>1</v>
      </c>
      <c r="G37" s="2" t="str">
        <f>IFERROR(VLOOKUP(B37, '07_Supplier_List'!A:B, 2, FALSE), "USD")</f>
        <v>USD</v>
      </c>
      <c r="H37" s="2">
        <f>VLOOKUP(G37, '03_FX_Rates'!A:B, 2, FALSE)</f>
        <v>2.25</v>
      </c>
      <c r="I37" s="2">
        <f t="shared" si="0"/>
        <v>0</v>
      </c>
      <c r="J37" s="2" t="s">
        <v>33</v>
      </c>
      <c r="K37" s="2">
        <v>0.05</v>
      </c>
      <c r="L37" s="2">
        <f t="shared" si="1"/>
        <v>0</v>
      </c>
      <c r="M37" s="2">
        <f>IFERROR(VLOOKUP(D37, '04_Logistics_Taxes'!A:B, 2, FALSE), 0)</f>
        <v>0</v>
      </c>
      <c r="N37" s="2">
        <f t="shared" si="2"/>
        <v>0</v>
      </c>
      <c r="O37" s="2">
        <f t="shared" si="3"/>
        <v>0</v>
      </c>
      <c r="P37" s="2">
        <f>IF(Q37&lt;&gt;"", Q37, IFERROR(VLOOKUP(D37, '05_Margin_Engine'!A:B, 2, FALSE), 0))</f>
        <v>0</v>
      </c>
      <c r="R37" s="2">
        <f t="shared" si="4"/>
        <v>0</v>
      </c>
      <c r="S37" s="2">
        <f>(R37*'01_Control_Panel'!$B$3)+R37</f>
        <v>0</v>
      </c>
      <c r="T37" s="2">
        <f t="shared" si="5"/>
        <v>0</v>
      </c>
    </row>
    <row r="38" spans="1:20" ht="15.75" customHeight="1" x14ac:dyDescent="0.25">
      <c r="A38" s="2">
        <v>34</v>
      </c>
      <c r="B38" s="5"/>
      <c r="D38" s="2"/>
      <c r="E38" s="2">
        <v>1</v>
      </c>
      <c r="G38" s="2" t="str">
        <f>IFERROR(VLOOKUP(B38, '07_Supplier_List'!A:B, 2, FALSE), "USD")</f>
        <v>USD</v>
      </c>
      <c r="H38" s="2">
        <f>VLOOKUP(G38, '03_FX_Rates'!A:B, 2, FALSE)</f>
        <v>2.25</v>
      </c>
      <c r="I38" s="2">
        <f t="shared" si="0"/>
        <v>0</v>
      </c>
      <c r="J38" s="2" t="s">
        <v>33</v>
      </c>
      <c r="K38" s="2">
        <v>0.05</v>
      </c>
      <c r="L38" s="2">
        <f t="shared" si="1"/>
        <v>0</v>
      </c>
      <c r="M38" s="2">
        <f>IFERROR(VLOOKUP(D38, '04_Logistics_Taxes'!A:B, 2, FALSE), 0)</f>
        <v>0</v>
      </c>
      <c r="N38" s="2">
        <f t="shared" si="2"/>
        <v>0</v>
      </c>
      <c r="O38" s="2">
        <f t="shared" si="3"/>
        <v>0</v>
      </c>
      <c r="P38" s="2">
        <f>IF(Q38&lt;&gt;"", Q38, IFERROR(VLOOKUP(D38, '05_Margin_Engine'!A:B, 2, FALSE), 0))</f>
        <v>0</v>
      </c>
      <c r="R38" s="2">
        <f t="shared" si="4"/>
        <v>0</v>
      </c>
      <c r="S38" s="2">
        <f>(R38*'01_Control_Panel'!$B$3)+R38</f>
        <v>0</v>
      </c>
      <c r="T38" s="2">
        <f t="shared" si="5"/>
        <v>0</v>
      </c>
    </row>
    <row r="39" spans="1:20" ht="15.75" customHeight="1" x14ac:dyDescent="0.25">
      <c r="A39" s="2">
        <v>35</v>
      </c>
      <c r="B39" s="5"/>
      <c r="D39" s="2"/>
      <c r="E39" s="2">
        <v>1</v>
      </c>
      <c r="G39" s="2" t="str">
        <f>IFERROR(VLOOKUP(B39, '07_Supplier_List'!A:B, 2, FALSE), "USD")</f>
        <v>USD</v>
      </c>
      <c r="H39" s="2">
        <f>VLOOKUP(G39, '03_FX_Rates'!A:B, 2, FALSE)</f>
        <v>2.25</v>
      </c>
      <c r="I39" s="2">
        <f t="shared" si="0"/>
        <v>0</v>
      </c>
      <c r="J39" s="2" t="s">
        <v>33</v>
      </c>
      <c r="K39" s="2">
        <v>0.05</v>
      </c>
      <c r="L39" s="2">
        <f t="shared" si="1"/>
        <v>0</v>
      </c>
      <c r="M39" s="2">
        <f>IFERROR(VLOOKUP(D39, '04_Logistics_Taxes'!A:B, 2, FALSE), 0)</f>
        <v>0</v>
      </c>
      <c r="N39" s="2">
        <f t="shared" si="2"/>
        <v>0</v>
      </c>
      <c r="O39" s="2">
        <f t="shared" si="3"/>
        <v>0</v>
      </c>
      <c r="P39" s="2">
        <f>IF(Q39&lt;&gt;"", Q39, IFERROR(VLOOKUP(D39, '05_Margin_Engine'!A:B, 2, FALSE), 0))</f>
        <v>0</v>
      </c>
      <c r="R39" s="2">
        <f t="shared" si="4"/>
        <v>0</v>
      </c>
      <c r="S39" s="2">
        <f>(R39*'01_Control_Panel'!$B$3)+R39</f>
        <v>0</v>
      </c>
      <c r="T39" s="2">
        <f t="shared" si="5"/>
        <v>0</v>
      </c>
    </row>
    <row r="40" spans="1:20" ht="15.75" customHeight="1" x14ac:dyDescent="0.25">
      <c r="A40" s="2">
        <v>36</v>
      </c>
      <c r="B40" s="5"/>
      <c r="D40" s="2"/>
      <c r="E40" s="2">
        <v>1</v>
      </c>
      <c r="G40" s="2" t="str">
        <f>IFERROR(VLOOKUP(B40, '07_Supplier_List'!A:B, 2, FALSE), "USD")</f>
        <v>USD</v>
      </c>
      <c r="H40" s="2">
        <f>VLOOKUP(G40, '03_FX_Rates'!A:B, 2, FALSE)</f>
        <v>2.25</v>
      </c>
      <c r="I40" s="2">
        <f t="shared" si="0"/>
        <v>0</v>
      </c>
      <c r="J40" s="2" t="s">
        <v>33</v>
      </c>
      <c r="K40" s="2">
        <v>0.05</v>
      </c>
      <c r="L40" s="2">
        <f t="shared" si="1"/>
        <v>0</v>
      </c>
      <c r="M40" s="2">
        <f>IFERROR(VLOOKUP(D40, '04_Logistics_Taxes'!A:B, 2, FALSE), 0)</f>
        <v>0</v>
      </c>
      <c r="N40" s="2">
        <f t="shared" si="2"/>
        <v>0</v>
      </c>
      <c r="O40" s="2">
        <f t="shared" si="3"/>
        <v>0</v>
      </c>
      <c r="P40" s="2">
        <f>IF(Q40&lt;&gt;"", Q40, IFERROR(VLOOKUP(D40, '05_Margin_Engine'!A:B, 2, FALSE), 0))</f>
        <v>0</v>
      </c>
      <c r="R40" s="2">
        <f t="shared" si="4"/>
        <v>0</v>
      </c>
      <c r="S40" s="2">
        <f>(R40*'01_Control_Panel'!$B$3)+R40</f>
        <v>0</v>
      </c>
      <c r="T40" s="2">
        <f t="shared" si="5"/>
        <v>0</v>
      </c>
    </row>
    <row r="41" spans="1:20" ht="15.75" customHeight="1" x14ac:dyDescent="0.25">
      <c r="A41" s="2">
        <v>37</v>
      </c>
      <c r="B41" s="5"/>
      <c r="D41" s="2"/>
      <c r="E41" s="2">
        <v>1</v>
      </c>
      <c r="G41" s="2" t="str">
        <f>IFERROR(VLOOKUP(B41, '07_Supplier_List'!A:B, 2, FALSE), "USD")</f>
        <v>USD</v>
      </c>
      <c r="H41" s="2">
        <f>VLOOKUP(G41, '03_FX_Rates'!A:B, 2, FALSE)</f>
        <v>2.25</v>
      </c>
      <c r="I41" s="2">
        <f t="shared" si="0"/>
        <v>0</v>
      </c>
      <c r="J41" s="2" t="s">
        <v>33</v>
      </c>
      <c r="K41" s="2">
        <v>0.05</v>
      </c>
      <c r="L41" s="2">
        <f t="shared" si="1"/>
        <v>0</v>
      </c>
      <c r="M41" s="2">
        <f>IFERROR(VLOOKUP(D41, '04_Logistics_Taxes'!A:B, 2, FALSE), 0)</f>
        <v>0</v>
      </c>
      <c r="N41" s="2">
        <f t="shared" si="2"/>
        <v>0</v>
      </c>
      <c r="O41" s="2">
        <f t="shared" si="3"/>
        <v>0</v>
      </c>
      <c r="P41" s="2">
        <f>IF(Q41&lt;&gt;"", Q41, IFERROR(VLOOKUP(D41, '05_Margin_Engine'!A:B, 2, FALSE), 0))</f>
        <v>0</v>
      </c>
      <c r="R41" s="2">
        <f t="shared" si="4"/>
        <v>0</v>
      </c>
      <c r="S41" s="2">
        <f>(R41*'01_Control_Panel'!$B$3)+R41</f>
        <v>0</v>
      </c>
      <c r="T41" s="2">
        <f t="shared" si="5"/>
        <v>0</v>
      </c>
    </row>
    <row r="42" spans="1:20" ht="15.75" customHeight="1" x14ac:dyDescent="0.25">
      <c r="A42" s="2">
        <v>38</v>
      </c>
      <c r="B42" s="5"/>
      <c r="D42" s="2"/>
      <c r="E42" s="2">
        <v>1</v>
      </c>
      <c r="G42" s="2" t="str">
        <f>IFERROR(VLOOKUP(B42, '07_Supplier_List'!A:B, 2, FALSE), "USD")</f>
        <v>USD</v>
      </c>
      <c r="H42" s="2">
        <f>VLOOKUP(G42, '03_FX_Rates'!A:B, 2, FALSE)</f>
        <v>2.25</v>
      </c>
      <c r="I42" s="2">
        <f t="shared" si="0"/>
        <v>0</v>
      </c>
      <c r="J42" s="2" t="s">
        <v>33</v>
      </c>
      <c r="K42" s="2">
        <v>0.05</v>
      </c>
      <c r="L42" s="2">
        <f t="shared" si="1"/>
        <v>0</v>
      </c>
      <c r="M42" s="2">
        <f>IFERROR(VLOOKUP(D42, '04_Logistics_Taxes'!A:B, 2, FALSE), 0)</f>
        <v>0</v>
      </c>
      <c r="N42" s="2">
        <f t="shared" si="2"/>
        <v>0</v>
      </c>
      <c r="O42" s="2">
        <f t="shared" si="3"/>
        <v>0</v>
      </c>
      <c r="P42" s="2">
        <f>IF(Q42&lt;&gt;"", Q42, IFERROR(VLOOKUP(D42, '05_Margin_Engine'!A:B, 2, FALSE), 0))</f>
        <v>0</v>
      </c>
      <c r="R42" s="2">
        <f t="shared" si="4"/>
        <v>0</v>
      </c>
      <c r="S42" s="2">
        <f>(R42*'01_Control_Panel'!$B$3)+R42</f>
        <v>0</v>
      </c>
      <c r="T42" s="2">
        <f t="shared" si="5"/>
        <v>0</v>
      </c>
    </row>
    <row r="43" spans="1:20" ht="15.75" customHeight="1" x14ac:dyDescent="0.25">
      <c r="A43" s="2">
        <v>39</v>
      </c>
      <c r="B43" s="5"/>
      <c r="D43" s="2"/>
      <c r="E43" s="2">
        <v>1</v>
      </c>
      <c r="G43" s="2" t="str">
        <f>IFERROR(VLOOKUP(B43, '07_Supplier_List'!A:B, 2, FALSE), "USD")</f>
        <v>USD</v>
      </c>
      <c r="H43" s="2">
        <f>VLOOKUP(G43, '03_FX_Rates'!A:B, 2, FALSE)</f>
        <v>2.25</v>
      </c>
      <c r="I43" s="2">
        <f t="shared" si="0"/>
        <v>0</v>
      </c>
      <c r="J43" s="2" t="s">
        <v>33</v>
      </c>
      <c r="K43" s="2">
        <v>0.05</v>
      </c>
      <c r="L43" s="2">
        <f t="shared" si="1"/>
        <v>0</v>
      </c>
      <c r="M43" s="2">
        <f>IFERROR(VLOOKUP(D43, '04_Logistics_Taxes'!A:B, 2, FALSE), 0)</f>
        <v>0</v>
      </c>
      <c r="N43" s="2">
        <f t="shared" si="2"/>
        <v>0</v>
      </c>
      <c r="O43" s="2">
        <f t="shared" si="3"/>
        <v>0</v>
      </c>
      <c r="P43" s="2">
        <f>IF(Q43&lt;&gt;"", Q43, IFERROR(VLOOKUP(D43, '05_Margin_Engine'!A:B, 2, FALSE), 0))</f>
        <v>0</v>
      </c>
      <c r="R43" s="2">
        <f t="shared" si="4"/>
        <v>0</v>
      </c>
      <c r="S43" s="2">
        <f>(R43*'01_Control_Panel'!$B$3)+R43</f>
        <v>0</v>
      </c>
      <c r="T43" s="2">
        <f t="shared" si="5"/>
        <v>0</v>
      </c>
    </row>
    <row r="44" spans="1:20" ht="15.75" customHeight="1" x14ac:dyDescent="0.25">
      <c r="A44" s="2">
        <v>40</v>
      </c>
      <c r="B44" s="5"/>
      <c r="D44" s="2"/>
      <c r="E44" s="2">
        <v>1</v>
      </c>
      <c r="G44" s="2" t="str">
        <f>IFERROR(VLOOKUP(B44, '07_Supplier_List'!A:B, 2, FALSE), "USD")</f>
        <v>USD</v>
      </c>
      <c r="H44" s="2">
        <f>VLOOKUP(G44, '03_FX_Rates'!A:B, 2, FALSE)</f>
        <v>2.25</v>
      </c>
      <c r="I44" s="2">
        <f t="shared" si="0"/>
        <v>0</v>
      </c>
      <c r="J44" s="2" t="s">
        <v>33</v>
      </c>
      <c r="K44" s="2">
        <v>0.05</v>
      </c>
      <c r="L44" s="2">
        <f t="shared" si="1"/>
        <v>0</v>
      </c>
      <c r="M44" s="2">
        <f>IFERROR(VLOOKUP(D44, '04_Logistics_Taxes'!A:B, 2, FALSE), 0)</f>
        <v>0</v>
      </c>
      <c r="N44" s="2">
        <f t="shared" si="2"/>
        <v>0</v>
      </c>
      <c r="O44" s="2">
        <f t="shared" si="3"/>
        <v>0</v>
      </c>
      <c r="P44" s="2">
        <f>IF(Q44&lt;&gt;"", Q44, IFERROR(VLOOKUP(D44, '05_Margin_Engine'!A:B, 2, FALSE), 0))</f>
        <v>0</v>
      </c>
      <c r="R44" s="2">
        <f t="shared" si="4"/>
        <v>0</v>
      </c>
      <c r="S44" s="2">
        <f>(R44*'01_Control_Panel'!$B$3)+R44</f>
        <v>0</v>
      </c>
      <c r="T44" s="2">
        <f t="shared" si="5"/>
        <v>0</v>
      </c>
    </row>
    <row r="45" spans="1:20" ht="15.75" customHeight="1" x14ac:dyDescent="0.25">
      <c r="A45" s="2">
        <v>41</v>
      </c>
      <c r="B45" s="5"/>
      <c r="D45" s="2"/>
      <c r="E45" s="2">
        <v>1</v>
      </c>
      <c r="G45" s="2" t="str">
        <f>IFERROR(VLOOKUP(B45, '07_Supplier_List'!A:B, 2, FALSE), "USD")</f>
        <v>USD</v>
      </c>
      <c r="H45" s="2">
        <f>VLOOKUP(G45, '03_FX_Rates'!A:B, 2, FALSE)</f>
        <v>2.25</v>
      </c>
      <c r="I45" s="2">
        <f t="shared" si="0"/>
        <v>0</v>
      </c>
      <c r="J45" s="2" t="s">
        <v>33</v>
      </c>
      <c r="K45" s="2">
        <v>0.05</v>
      </c>
      <c r="L45" s="2">
        <f t="shared" si="1"/>
        <v>0</v>
      </c>
      <c r="M45" s="2">
        <f>IFERROR(VLOOKUP(D45, '04_Logistics_Taxes'!A:B, 2, FALSE), 0)</f>
        <v>0</v>
      </c>
      <c r="N45" s="2">
        <f t="shared" si="2"/>
        <v>0</v>
      </c>
      <c r="O45" s="2">
        <f t="shared" si="3"/>
        <v>0</v>
      </c>
      <c r="P45" s="2">
        <f>IF(Q45&lt;&gt;"", Q45, IFERROR(VLOOKUP(D45, '05_Margin_Engine'!A:B, 2, FALSE), 0))</f>
        <v>0</v>
      </c>
      <c r="R45" s="2">
        <f t="shared" si="4"/>
        <v>0</v>
      </c>
      <c r="S45" s="2">
        <f>(R45*'01_Control_Panel'!$B$3)+R45</f>
        <v>0</v>
      </c>
      <c r="T45" s="2">
        <f t="shared" si="5"/>
        <v>0</v>
      </c>
    </row>
    <row r="46" spans="1:20" ht="15.75" customHeight="1" x14ac:dyDescent="0.25">
      <c r="A46" s="2">
        <v>42</v>
      </c>
      <c r="B46" s="5"/>
      <c r="D46" s="2"/>
      <c r="E46" s="2">
        <v>1</v>
      </c>
      <c r="G46" s="2" t="str">
        <f>IFERROR(VLOOKUP(B46, '07_Supplier_List'!A:B, 2, FALSE), "USD")</f>
        <v>USD</v>
      </c>
      <c r="H46" s="2">
        <f>VLOOKUP(G46, '03_FX_Rates'!A:B, 2, FALSE)</f>
        <v>2.25</v>
      </c>
      <c r="I46" s="2">
        <f t="shared" si="0"/>
        <v>0</v>
      </c>
      <c r="J46" s="2" t="s">
        <v>33</v>
      </c>
      <c r="K46" s="2">
        <v>0.05</v>
      </c>
      <c r="L46" s="2">
        <f t="shared" si="1"/>
        <v>0</v>
      </c>
      <c r="M46" s="2">
        <f>IFERROR(VLOOKUP(D46, '04_Logistics_Taxes'!A:B, 2, FALSE), 0)</f>
        <v>0</v>
      </c>
      <c r="N46" s="2">
        <f t="shared" si="2"/>
        <v>0</v>
      </c>
      <c r="O46" s="2">
        <f t="shared" si="3"/>
        <v>0</v>
      </c>
      <c r="P46" s="2">
        <f>IF(Q46&lt;&gt;"", Q46, IFERROR(VLOOKUP(D46, '05_Margin_Engine'!A:B, 2, FALSE), 0))</f>
        <v>0</v>
      </c>
      <c r="R46" s="2">
        <f t="shared" si="4"/>
        <v>0</v>
      </c>
      <c r="S46" s="2">
        <f>(R46*'01_Control_Panel'!$B$3)+R46</f>
        <v>0</v>
      </c>
      <c r="T46" s="2">
        <f t="shared" si="5"/>
        <v>0</v>
      </c>
    </row>
    <row r="47" spans="1:20" ht="15.75" customHeight="1" x14ac:dyDescent="0.25">
      <c r="A47" s="2">
        <v>43</v>
      </c>
      <c r="B47" s="5"/>
      <c r="D47" s="2"/>
      <c r="E47" s="2">
        <v>1</v>
      </c>
      <c r="G47" s="2" t="str">
        <f>IFERROR(VLOOKUP(B47, '07_Supplier_List'!A:B, 2, FALSE), "USD")</f>
        <v>USD</v>
      </c>
      <c r="H47" s="2">
        <f>VLOOKUP(G47, '03_FX_Rates'!A:B, 2, FALSE)</f>
        <v>2.25</v>
      </c>
      <c r="I47" s="2">
        <f t="shared" si="0"/>
        <v>0</v>
      </c>
      <c r="J47" s="2" t="s">
        <v>33</v>
      </c>
      <c r="K47" s="2">
        <v>0.05</v>
      </c>
      <c r="L47" s="2">
        <f t="shared" si="1"/>
        <v>0</v>
      </c>
      <c r="M47" s="2">
        <f>IFERROR(VLOOKUP(D47, '04_Logistics_Taxes'!A:B, 2, FALSE), 0)</f>
        <v>0</v>
      </c>
      <c r="N47" s="2">
        <f t="shared" si="2"/>
        <v>0</v>
      </c>
      <c r="O47" s="2">
        <f t="shared" si="3"/>
        <v>0</v>
      </c>
      <c r="P47" s="2">
        <f>IF(Q47&lt;&gt;"", Q47, IFERROR(VLOOKUP(D47, '05_Margin_Engine'!A:B, 2, FALSE), 0))</f>
        <v>0</v>
      </c>
      <c r="R47" s="2">
        <f t="shared" si="4"/>
        <v>0</v>
      </c>
      <c r="S47" s="2">
        <f>(R47*'01_Control_Panel'!$B$3)+R47</f>
        <v>0</v>
      </c>
      <c r="T47" s="2">
        <f t="shared" si="5"/>
        <v>0</v>
      </c>
    </row>
    <row r="48" spans="1:20" ht="15.75" customHeight="1" x14ac:dyDescent="0.25">
      <c r="A48" s="2">
        <v>44</v>
      </c>
      <c r="B48" s="5"/>
      <c r="D48" s="2"/>
      <c r="E48" s="2">
        <v>1</v>
      </c>
      <c r="G48" s="2" t="str">
        <f>IFERROR(VLOOKUP(B48, '07_Supplier_List'!A:B, 2, FALSE), "USD")</f>
        <v>USD</v>
      </c>
      <c r="H48" s="2">
        <f>VLOOKUP(G48, '03_FX_Rates'!A:B, 2, FALSE)</f>
        <v>2.25</v>
      </c>
      <c r="I48" s="2">
        <f t="shared" si="0"/>
        <v>0</v>
      </c>
      <c r="J48" s="2" t="s">
        <v>33</v>
      </c>
      <c r="K48" s="2">
        <v>0.05</v>
      </c>
      <c r="L48" s="2">
        <f t="shared" si="1"/>
        <v>0</v>
      </c>
      <c r="M48" s="2">
        <f>IFERROR(VLOOKUP(D48, '04_Logistics_Taxes'!A:B, 2, FALSE), 0)</f>
        <v>0</v>
      </c>
      <c r="N48" s="2">
        <f t="shared" si="2"/>
        <v>0</v>
      </c>
      <c r="O48" s="2">
        <f t="shared" si="3"/>
        <v>0</v>
      </c>
      <c r="P48" s="2">
        <f>IF(Q48&lt;&gt;"", Q48, IFERROR(VLOOKUP(D48, '05_Margin_Engine'!A:B, 2, FALSE), 0))</f>
        <v>0</v>
      </c>
      <c r="R48" s="2">
        <f t="shared" si="4"/>
        <v>0</v>
      </c>
      <c r="S48" s="2">
        <f>(R48*'01_Control_Panel'!$B$3)+R48</f>
        <v>0</v>
      </c>
      <c r="T48" s="2">
        <f t="shared" si="5"/>
        <v>0</v>
      </c>
    </row>
    <row r="49" spans="1:20" ht="15.75" customHeight="1" x14ac:dyDescent="0.25">
      <c r="A49" s="2">
        <v>45</v>
      </c>
      <c r="B49" s="5"/>
      <c r="D49" s="2"/>
      <c r="E49" s="2">
        <v>1</v>
      </c>
      <c r="G49" s="2" t="str">
        <f>IFERROR(VLOOKUP(B49, '07_Supplier_List'!A:B, 2, FALSE), "USD")</f>
        <v>USD</v>
      </c>
      <c r="H49" s="2">
        <f>VLOOKUP(G49, '03_FX_Rates'!A:B, 2, FALSE)</f>
        <v>2.25</v>
      </c>
      <c r="I49" s="2">
        <f t="shared" si="0"/>
        <v>0</v>
      </c>
      <c r="J49" s="2" t="s">
        <v>33</v>
      </c>
      <c r="K49" s="2">
        <v>0.05</v>
      </c>
      <c r="L49" s="2">
        <f t="shared" si="1"/>
        <v>0</v>
      </c>
      <c r="M49" s="2">
        <f>IFERROR(VLOOKUP(D49, '04_Logistics_Taxes'!A:B, 2, FALSE), 0)</f>
        <v>0</v>
      </c>
      <c r="N49" s="2">
        <f t="shared" si="2"/>
        <v>0</v>
      </c>
      <c r="O49" s="2">
        <f t="shared" si="3"/>
        <v>0</v>
      </c>
      <c r="P49" s="2">
        <f>IF(Q49&lt;&gt;"", Q49, IFERROR(VLOOKUP(D49, '05_Margin_Engine'!A:B, 2, FALSE), 0))</f>
        <v>0</v>
      </c>
      <c r="R49" s="2">
        <f t="shared" si="4"/>
        <v>0</v>
      </c>
      <c r="S49" s="2">
        <f>(R49*'01_Control_Panel'!$B$3)+R49</f>
        <v>0</v>
      </c>
      <c r="T49" s="2">
        <f t="shared" si="5"/>
        <v>0</v>
      </c>
    </row>
    <row r="50" spans="1:20" ht="15.75" customHeight="1" x14ac:dyDescent="0.25">
      <c r="A50" s="2">
        <v>46</v>
      </c>
      <c r="B50" s="5"/>
      <c r="D50" s="2"/>
      <c r="E50" s="2">
        <v>1</v>
      </c>
      <c r="G50" s="2" t="str">
        <f>IFERROR(VLOOKUP(B50, '07_Supplier_List'!A:B, 2, FALSE), "USD")</f>
        <v>USD</v>
      </c>
      <c r="H50" s="2">
        <f>VLOOKUP(G50, '03_FX_Rates'!A:B, 2, FALSE)</f>
        <v>2.25</v>
      </c>
      <c r="I50" s="2">
        <f t="shared" si="0"/>
        <v>0</v>
      </c>
      <c r="J50" s="2" t="s">
        <v>33</v>
      </c>
      <c r="K50" s="2">
        <v>0.05</v>
      </c>
      <c r="L50" s="2">
        <f t="shared" si="1"/>
        <v>0</v>
      </c>
      <c r="M50" s="2">
        <f>IFERROR(VLOOKUP(D50, '04_Logistics_Taxes'!A:B, 2, FALSE), 0)</f>
        <v>0</v>
      </c>
      <c r="N50" s="2">
        <f t="shared" si="2"/>
        <v>0</v>
      </c>
      <c r="O50" s="2">
        <f t="shared" si="3"/>
        <v>0</v>
      </c>
      <c r="P50" s="2">
        <f>IF(Q50&lt;&gt;"", Q50, IFERROR(VLOOKUP(D50, '05_Margin_Engine'!A:B, 2, FALSE), 0))</f>
        <v>0</v>
      </c>
      <c r="R50" s="2">
        <f t="shared" si="4"/>
        <v>0</v>
      </c>
      <c r="S50" s="2">
        <f>(R50*'01_Control_Panel'!$B$3)+R50</f>
        <v>0</v>
      </c>
      <c r="T50" s="2">
        <f t="shared" si="5"/>
        <v>0</v>
      </c>
    </row>
    <row r="51" spans="1:20" ht="15.75" customHeight="1" x14ac:dyDescent="0.25">
      <c r="A51" s="2">
        <v>47</v>
      </c>
      <c r="B51" s="5"/>
      <c r="D51" s="2"/>
      <c r="E51" s="2">
        <v>1</v>
      </c>
      <c r="G51" s="2" t="str">
        <f>IFERROR(VLOOKUP(B51, '07_Supplier_List'!A:B, 2, FALSE), "USD")</f>
        <v>USD</v>
      </c>
      <c r="H51" s="2">
        <f>VLOOKUP(G51, '03_FX_Rates'!A:B, 2, FALSE)</f>
        <v>2.25</v>
      </c>
      <c r="I51" s="2">
        <f t="shared" si="0"/>
        <v>0</v>
      </c>
      <c r="J51" s="2" t="s">
        <v>33</v>
      </c>
      <c r="K51" s="2">
        <v>0.05</v>
      </c>
      <c r="L51" s="2">
        <f t="shared" si="1"/>
        <v>0</v>
      </c>
      <c r="M51" s="2">
        <f>IFERROR(VLOOKUP(D51, '04_Logistics_Taxes'!A:B, 2, FALSE), 0)</f>
        <v>0</v>
      </c>
      <c r="N51" s="2">
        <f t="shared" si="2"/>
        <v>0</v>
      </c>
      <c r="O51" s="2">
        <f t="shared" si="3"/>
        <v>0</v>
      </c>
      <c r="P51" s="2">
        <f>IF(Q51&lt;&gt;"", Q51, IFERROR(VLOOKUP(D51, '05_Margin_Engine'!A:B, 2, FALSE), 0))</f>
        <v>0</v>
      </c>
      <c r="R51" s="2">
        <f t="shared" si="4"/>
        <v>0</v>
      </c>
      <c r="S51" s="2">
        <f>(R51*'01_Control_Panel'!$B$3)+R51</f>
        <v>0</v>
      </c>
      <c r="T51" s="2">
        <f t="shared" si="5"/>
        <v>0</v>
      </c>
    </row>
    <row r="52" spans="1:20" ht="15.75" customHeight="1" x14ac:dyDescent="0.25">
      <c r="A52" s="2">
        <v>48</v>
      </c>
      <c r="B52" s="5"/>
      <c r="D52" s="2"/>
      <c r="E52" s="2">
        <v>1</v>
      </c>
      <c r="G52" s="2" t="str">
        <f>IFERROR(VLOOKUP(B52, '07_Supplier_List'!A:B, 2, FALSE), "USD")</f>
        <v>USD</v>
      </c>
      <c r="H52" s="2">
        <f>VLOOKUP(G52, '03_FX_Rates'!A:B, 2, FALSE)</f>
        <v>2.25</v>
      </c>
      <c r="I52" s="2">
        <f t="shared" si="0"/>
        <v>0</v>
      </c>
      <c r="J52" s="2" t="s">
        <v>33</v>
      </c>
      <c r="K52" s="2">
        <v>0.05</v>
      </c>
      <c r="L52" s="2">
        <f t="shared" si="1"/>
        <v>0</v>
      </c>
      <c r="M52" s="2">
        <f>IFERROR(VLOOKUP(D52, '04_Logistics_Taxes'!A:B, 2, FALSE), 0)</f>
        <v>0</v>
      </c>
      <c r="N52" s="2">
        <f t="shared" si="2"/>
        <v>0</v>
      </c>
      <c r="O52" s="2">
        <f t="shared" si="3"/>
        <v>0</v>
      </c>
      <c r="P52" s="2">
        <f>IF(Q52&lt;&gt;"", Q52, IFERROR(VLOOKUP(D52, '05_Margin_Engine'!A:B, 2, FALSE), 0))</f>
        <v>0</v>
      </c>
      <c r="R52" s="2">
        <f t="shared" si="4"/>
        <v>0</v>
      </c>
      <c r="S52" s="2">
        <f>(R52*'01_Control_Panel'!$B$3)+R52</f>
        <v>0</v>
      </c>
      <c r="T52" s="2">
        <f t="shared" si="5"/>
        <v>0</v>
      </c>
    </row>
    <row r="53" spans="1:20" ht="15.75" customHeight="1" x14ac:dyDescent="0.25">
      <c r="A53" s="2">
        <v>49</v>
      </c>
      <c r="B53" s="5"/>
      <c r="D53" s="2"/>
      <c r="E53" s="2">
        <v>1</v>
      </c>
      <c r="G53" s="2" t="str">
        <f>IFERROR(VLOOKUP(B53, '07_Supplier_List'!A:B, 2, FALSE), "USD")</f>
        <v>USD</v>
      </c>
      <c r="H53" s="2">
        <f>VLOOKUP(G53, '03_FX_Rates'!A:B, 2, FALSE)</f>
        <v>2.25</v>
      </c>
      <c r="I53" s="2">
        <f t="shared" si="0"/>
        <v>0</v>
      </c>
      <c r="J53" s="2" t="s">
        <v>33</v>
      </c>
      <c r="K53" s="2">
        <v>0.05</v>
      </c>
      <c r="L53" s="2">
        <f t="shared" si="1"/>
        <v>0</v>
      </c>
      <c r="M53" s="2">
        <f>IFERROR(VLOOKUP(D53, '04_Logistics_Taxes'!A:B, 2, FALSE), 0)</f>
        <v>0</v>
      </c>
      <c r="N53" s="2">
        <f t="shared" si="2"/>
        <v>0</v>
      </c>
      <c r="O53" s="2">
        <f t="shared" si="3"/>
        <v>0</v>
      </c>
      <c r="P53" s="2">
        <f>IF(Q53&lt;&gt;"", Q53, IFERROR(VLOOKUP(D53, '05_Margin_Engine'!A:B, 2, FALSE), 0))</f>
        <v>0</v>
      </c>
      <c r="R53" s="2">
        <f t="shared" si="4"/>
        <v>0</v>
      </c>
      <c r="S53" s="2">
        <f>(R53*'01_Control_Panel'!$B$3)+R53</f>
        <v>0</v>
      </c>
      <c r="T53" s="2">
        <f t="shared" si="5"/>
        <v>0</v>
      </c>
    </row>
    <row r="54" spans="1:20" ht="15.75" customHeight="1" x14ac:dyDescent="0.25">
      <c r="D54" s="2"/>
      <c r="G54" s="2"/>
      <c r="J54" s="2"/>
      <c r="M54" s="2">
        <f>IFERROR(VLOOKUP(D54, '04_Logistics_Taxes'!A:B, 2, FALSE), 0)</f>
        <v>0</v>
      </c>
    </row>
    <row r="55" spans="1:20" ht="15.75" customHeight="1" x14ac:dyDescent="0.25">
      <c r="D55" s="2"/>
      <c r="G55" s="2"/>
      <c r="J55" s="2"/>
    </row>
    <row r="56" spans="1:20" ht="15.75" customHeight="1" x14ac:dyDescent="0.25">
      <c r="D56" s="2"/>
      <c r="G56" s="2"/>
      <c r="J56" s="2"/>
    </row>
    <row r="57" spans="1:20" ht="15.75" customHeight="1" x14ac:dyDescent="0.25">
      <c r="D57" s="2"/>
      <c r="G57" s="2"/>
      <c r="J57" s="2"/>
    </row>
    <row r="58" spans="1:20" ht="15.75" customHeight="1" x14ac:dyDescent="0.25">
      <c r="D58" s="2"/>
      <c r="G58" s="2"/>
      <c r="J58" s="2"/>
    </row>
    <row r="59" spans="1:20" ht="15.75" customHeight="1" x14ac:dyDescent="0.25">
      <c r="D59" s="2"/>
      <c r="G59" s="2"/>
      <c r="J59" s="2"/>
    </row>
    <row r="60" spans="1:20" ht="15.75" customHeight="1" x14ac:dyDescent="0.25">
      <c r="D60" s="2"/>
      <c r="G60" s="2"/>
      <c r="J60" s="2"/>
    </row>
    <row r="61" spans="1:20" ht="15.75" customHeight="1" x14ac:dyDescent="0.25">
      <c r="D61" s="2"/>
      <c r="G61" s="2"/>
      <c r="J61" s="2"/>
    </row>
    <row r="62" spans="1:20" ht="15.75" customHeight="1" x14ac:dyDescent="0.25">
      <c r="D62" s="2"/>
      <c r="G62" s="2"/>
      <c r="J62" s="2"/>
    </row>
    <row r="63" spans="1:20" ht="15.75" customHeight="1" x14ac:dyDescent="0.25">
      <c r="D63" s="2"/>
      <c r="G63" s="2"/>
      <c r="J63" s="2"/>
    </row>
    <row r="64" spans="1:20" ht="15.75" customHeight="1" x14ac:dyDescent="0.25">
      <c r="D64" s="2"/>
      <c r="G64" s="2"/>
      <c r="J64" s="2"/>
    </row>
    <row r="65" spans="4:10" ht="15.75" customHeight="1" x14ac:dyDescent="0.25">
      <c r="D65" s="2"/>
      <c r="G65" s="2"/>
      <c r="J65" s="2"/>
    </row>
    <row r="66" spans="4:10" ht="15.75" customHeight="1" x14ac:dyDescent="0.25">
      <c r="D66" s="2"/>
      <c r="G66" s="2"/>
      <c r="J66" s="2"/>
    </row>
    <row r="67" spans="4:10" ht="15.75" customHeight="1" x14ac:dyDescent="0.25">
      <c r="D67" s="2"/>
      <c r="G67" s="2"/>
      <c r="J67" s="2"/>
    </row>
    <row r="68" spans="4:10" ht="15.75" customHeight="1" x14ac:dyDescent="0.25">
      <c r="D68" s="2"/>
      <c r="G68" s="2"/>
      <c r="J68" s="2"/>
    </row>
    <row r="69" spans="4:10" ht="15.75" customHeight="1" x14ac:dyDescent="0.25">
      <c r="D69" s="2"/>
      <c r="G69" s="2"/>
      <c r="J69" s="2"/>
    </row>
    <row r="70" spans="4:10" ht="15.75" customHeight="1" x14ac:dyDescent="0.25">
      <c r="D70" s="2"/>
      <c r="G70" s="2"/>
      <c r="J70" s="2"/>
    </row>
    <row r="71" spans="4:10" ht="15.75" customHeight="1" x14ac:dyDescent="0.25">
      <c r="D71" s="2"/>
      <c r="G71" s="2"/>
      <c r="J71" s="2"/>
    </row>
    <row r="72" spans="4:10" ht="15.75" customHeight="1" x14ac:dyDescent="0.25">
      <c r="D72" s="2"/>
      <c r="G72" s="2"/>
      <c r="J72" s="2"/>
    </row>
    <row r="73" spans="4:10" ht="15.75" customHeight="1" x14ac:dyDescent="0.25">
      <c r="D73" s="2"/>
      <c r="G73" s="2"/>
      <c r="J73" s="2"/>
    </row>
    <row r="74" spans="4:10" ht="15.75" customHeight="1" x14ac:dyDescent="0.25">
      <c r="D74" s="2"/>
      <c r="G74" s="2"/>
      <c r="J74" s="2"/>
    </row>
    <row r="75" spans="4:10" ht="15.75" customHeight="1" x14ac:dyDescent="0.25">
      <c r="D75" s="2"/>
      <c r="G75" s="2"/>
      <c r="J75" s="2"/>
    </row>
    <row r="76" spans="4:10" ht="15.75" customHeight="1" x14ac:dyDescent="0.25">
      <c r="D76" s="2"/>
      <c r="G76" s="2"/>
      <c r="J76" s="2"/>
    </row>
    <row r="77" spans="4:10" ht="15.75" customHeight="1" x14ac:dyDescent="0.25">
      <c r="D77" s="2"/>
      <c r="G77" s="2"/>
      <c r="J77" s="2"/>
    </row>
    <row r="78" spans="4:10" ht="15.75" customHeight="1" x14ac:dyDescent="0.25">
      <c r="D78" s="2"/>
      <c r="G78" s="2"/>
      <c r="J78" s="2"/>
    </row>
    <row r="79" spans="4:10" ht="15.75" customHeight="1" x14ac:dyDescent="0.25">
      <c r="D79" s="2"/>
      <c r="G79" s="2"/>
      <c r="J79" s="2"/>
    </row>
    <row r="80" spans="4:10" ht="15.75" customHeight="1" x14ac:dyDescent="0.25">
      <c r="D80" s="2"/>
      <c r="G80" s="2"/>
      <c r="J80" s="2"/>
    </row>
    <row r="81" spans="4:10" ht="15.75" customHeight="1" x14ac:dyDescent="0.25">
      <c r="D81" s="2"/>
      <c r="G81" s="2"/>
      <c r="J81" s="2"/>
    </row>
    <row r="82" spans="4:10" ht="15.75" customHeight="1" x14ac:dyDescent="0.25">
      <c r="D82" s="2"/>
      <c r="G82" s="2"/>
      <c r="J82" s="2"/>
    </row>
    <row r="83" spans="4:10" ht="15.75" customHeight="1" x14ac:dyDescent="0.25">
      <c r="D83" s="2"/>
      <c r="G83" s="2"/>
      <c r="J83" s="2"/>
    </row>
    <row r="84" spans="4:10" ht="15.75" customHeight="1" x14ac:dyDescent="0.25">
      <c r="D84" s="2"/>
      <c r="G84" s="2"/>
      <c r="J84" s="2"/>
    </row>
    <row r="85" spans="4:10" ht="15.75" customHeight="1" x14ac:dyDescent="0.25">
      <c r="D85" s="2"/>
      <c r="G85" s="2"/>
      <c r="J85" s="2"/>
    </row>
    <row r="86" spans="4:10" ht="15.75" customHeight="1" x14ac:dyDescent="0.25">
      <c r="D86" s="2"/>
      <c r="G86" s="2"/>
      <c r="J86" s="2"/>
    </row>
    <row r="87" spans="4:10" ht="15.75" customHeight="1" x14ac:dyDescent="0.25">
      <c r="D87" s="2"/>
      <c r="G87" s="2"/>
      <c r="J87" s="2"/>
    </row>
    <row r="88" spans="4:10" ht="15.75" customHeight="1" x14ac:dyDescent="0.25">
      <c r="D88" s="2"/>
      <c r="G88" s="2"/>
      <c r="J88" s="2"/>
    </row>
    <row r="89" spans="4:10" ht="15.75" customHeight="1" x14ac:dyDescent="0.25">
      <c r="D89" s="2"/>
      <c r="G89" s="2"/>
      <c r="J89" s="2"/>
    </row>
    <row r="90" spans="4:10" ht="15.75" customHeight="1" x14ac:dyDescent="0.25">
      <c r="D90" s="2"/>
      <c r="G90" s="2"/>
      <c r="J90" s="2"/>
    </row>
    <row r="91" spans="4:10" ht="15.75" customHeight="1" x14ac:dyDescent="0.25">
      <c r="D91" s="2"/>
      <c r="G91" s="2"/>
      <c r="J91" s="2"/>
    </row>
    <row r="92" spans="4:10" ht="15.75" customHeight="1" x14ac:dyDescent="0.25">
      <c r="D92" s="2"/>
      <c r="G92" s="2"/>
      <c r="J92" s="2"/>
    </row>
    <row r="93" spans="4:10" ht="15.75" customHeight="1" x14ac:dyDescent="0.25">
      <c r="D93" s="2"/>
      <c r="G93" s="2"/>
      <c r="J93" s="2"/>
    </row>
    <row r="94" spans="4:10" ht="15.75" customHeight="1" x14ac:dyDescent="0.25">
      <c r="D94" s="2"/>
      <c r="G94" s="2"/>
      <c r="J94" s="2"/>
    </row>
    <row r="95" spans="4:10" ht="15.75" customHeight="1" x14ac:dyDescent="0.25">
      <c r="D95" s="2"/>
      <c r="G95" s="2"/>
      <c r="J95" s="2"/>
    </row>
    <row r="96" spans="4:10" ht="15.75" customHeight="1" x14ac:dyDescent="0.25">
      <c r="D96" s="2"/>
      <c r="G96" s="2"/>
      <c r="J96" s="2"/>
    </row>
    <row r="97" spans="4:10" ht="15.75" customHeight="1" x14ac:dyDescent="0.25">
      <c r="D97" s="2"/>
      <c r="G97" s="2"/>
      <c r="J97" s="2"/>
    </row>
    <row r="98" spans="4:10" ht="15.75" customHeight="1" x14ac:dyDescent="0.25">
      <c r="D98" s="2"/>
      <c r="G98" s="2"/>
      <c r="J98" s="2"/>
    </row>
    <row r="99" spans="4:10" ht="15.75" customHeight="1" x14ac:dyDescent="0.25">
      <c r="D99" s="2"/>
      <c r="G99" s="2"/>
      <c r="J99" s="2"/>
    </row>
    <row r="100" spans="4:10" ht="15.75" customHeight="1" x14ac:dyDescent="0.25">
      <c r="D100" s="2"/>
      <c r="G100" s="2"/>
      <c r="J100" s="2"/>
    </row>
    <row r="101" spans="4:10" ht="15.75" customHeight="1" x14ac:dyDescent="0.25">
      <c r="D101" s="2"/>
      <c r="G101" s="2"/>
      <c r="J101" s="2"/>
    </row>
    <row r="102" spans="4:10" ht="15.75" customHeight="1" x14ac:dyDescent="0.25">
      <c r="D102" s="2"/>
      <c r="G102" s="2"/>
      <c r="J102" s="2"/>
    </row>
    <row r="103" spans="4:10" ht="15.75" customHeight="1" x14ac:dyDescent="0.25">
      <c r="D103" s="2"/>
      <c r="G103" s="2"/>
      <c r="J103" s="2"/>
    </row>
    <row r="104" spans="4:10" ht="15.75" customHeight="1" x14ac:dyDescent="0.25"/>
    <row r="105" spans="4:10" ht="15.75" customHeight="1" x14ac:dyDescent="0.25"/>
    <row r="106" spans="4:10" ht="15.75" customHeight="1" x14ac:dyDescent="0.25"/>
    <row r="107" spans="4:10" ht="15.75" customHeight="1" x14ac:dyDescent="0.25"/>
    <row r="108" spans="4:10" ht="15.75" customHeight="1" x14ac:dyDescent="0.25"/>
    <row r="109" spans="4:10" ht="15.75" customHeight="1" x14ac:dyDescent="0.25"/>
    <row r="110" spans="4:10" ht="15.75" customHeight="1" x14ac:dyDescent="0.25"/>
    <row r="111" spans="4:10" ht="15.75" customHeight="1" x14ac:dyDescent="0.25"/>
    <row r="112" spans="4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dataValidations count="1">
    <dataValidation type="list" allowBlank="1" sqref="J5:J103" xr:uid="{00000000-0002-0000-0100-000003000000}">
      <formula1>"Fixed,Percent"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'04_Logistics_Taxes'!$A$2:$A$20</xm:f>
          </x14:formula1>
          <xm:sqref>D5:D103</xm:sqref>
        </x14:dataValidation>
        <x14:dataValidation type="list" allowBlank="1" showErrorMessage="1" xr:uid="{00000000-0002-0000-0100-000001000000}">
          <x14:formula1>
            <xm:f>'07_Supplier_List'!$A$2:$A$100</xm:f>
          </x14:formula1>
          <xm:sqref>B5:B53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3" ht="15.75" customHeight="1" x14ac:dyDescent="0.25">
      <c r="A1" s="1" t="s">
        <v>16</v>
      </c>
      <c r="B1" s="1" t="s">
        <v>37</v>
      </c>
      <c r="C1" s="1" t="s">
        <v>38</v>
      </c>
    </row>
    <row r="2" spans="1:3" ht="15.75" customHeight="1" x14ac:dyDescent="0.25">
      <c r="A2" s="2" t="s">
        <v>39</v>
      </c>
      <c r="B2" s="2">
        <v>2.25</v>
      </c>
      <c r="C2" s="6">
        <v>46037.374432569442</v>
      </c>
    </row>
    <row r="3" spans="1:3" ht="15.75" customHeight="1" x14ac:dyDescent="0.25">
      <c r="A3" s="2" t="s">
        <v>40</v>
      </c>
      <c r="B3" s="2">
        <v>1.5</v>
      </c>
      <c r="C3" s="6">
        <v>46037.374432569442</v>
      </c>
    </row>
    <row r="4" spans="1:3" ht="15.75" customHeight="1" x14ac:dyDescent="0.25">
      <c r="A4" s="2" t="s">
        <v>41</v>
      </c>
      <c r="B4" s="2">
        <v>1.4</v>
      </c>
      <c r="C4" s="6">
        <v>46037.374432569442</v>
      </c>
    </row>
    <row r="5" spans="1:3" ht="15.75" customHeight="1" x14ac:dyDescent="0.25">
      <c r="A5" s="2" t="s">
        <v>42</v>
      </c>
      <c r="B5" s="2">
        <v>2.5</v>
      </c>
      <c r="C5" s="6">
        <v>46037.374432569442</v>
      </c>
    </row>
    <row r="6" spans="1:3" ht="15.75" customHeight="1" x14ac:dyDescent="0.25">
      <c r="A6" s="2" t="s">
        <v>4</v>
      </c>
      <c r="B6" s="2">
        <v>1</v>
      </c>
      <c r="C6" s="6">
        <v>46037</v>
      </c>
    </row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3" ht="15.75" customHeight="1" x14ac:dyDescent="0.25">
      <c r="A1" s="1" t="s">
        <v>13</v>
      </c>
      <c r="B1" s="1" t="s">
        <v>43</v>
      </c>
      <c r="C1" s="1" t="s">
        <v>2</v>
      </c>
    </row>
    <row r="2" spans="1:3" ht="15.75" customHeight="1" x14ac:dyDescent="0.25">
      <c r="A2" s="2" t="s">
        <v>32</v>
      </c>
      <c r="B2" s="2">
        <v>0.05</v>
      </c>
      <c r="C2" s="2" t="s">
        <v>44</v>
      </c>
    </row>
    <row r="3" spans="1:3" ht="15.75" customHeight="1" x14ac:dyDescent="0.25">
      <c r="A3" s="2" t="s">
        <v>45</v>
      </c>
      <c r="B3" s="2">
        <v>0.05</v>
      </c>
      <c r="C3" s="2" t="s">
        <v>46</v>
      </c>
    </row>
    <row r="4" spans="1:3" ht="15.75" customHeight="1" x14ac:dyDescent="0.25">
      <c r="A4" s="2" t="s">
        <v>47</v>
      </c>
      <c r="B4" s="2">
        <v>0.05</v>
      </c>
      <c r="C4" s="2" t="s">
        <v>48</v>
      </c>
    </row>
    <row r="5" spans="1:3" ht="15.75" customHeight="1" x14ac:dyDescent="0.25">
      <c r="A5" s="2" t="s">
        <v>49</v>
      </c>
      <c r="B5" s="2">
        <v>0</v>
      </c>
      <c r="C5" s="2" t="s">
        <v>50</v>
      </c>
    </row>
    <row r="6" spans="1:3" ht="15.75" customHeight="1" x14ac:dyDescent="0.25">
      <c r="A6" s="2" t="s">
        <v>51</v>
      </c>
      <c r="B6" s="2">
        <v>0</v>
      </c>
      <c r="C6" s="2" t="s">
        <v>52</v>
      </c>
    </row>
    <row r="7" spans="1:3" ht="15.75" customHeight="1" x14ac:dyDescent="0.25">
      <c r="A7" s="2" t="s">
        <v>53</v>
      </c>
      <c r="B7" s="2">
        <v>0.15</v>
      </c>
      <c r="C7" s="2" t="s">
        <v>54</v>
      </c>
    </row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3" ht="15.75" customHeight="1" x14ac:dyDescent="0.25">
      <c r="A1" s="1" t="s">
        <v>13</v>
      </c>
      <c r="B1" s="1" t="s">
        <v>55</v>
      </c>
      <c r="C1" s="1" t="s">
        <v>2</v>
      </c>
    </row>
    <row r="2" spans="1:3" ht="15.75" customHeight="1" x14ac:dyDescent="0.25">
      <c r="A2" s="2" t="s">
        <v>32</v>
      </c>
      <c r="B2" s="2">
        <v>0.25</v>
      </c>
      <c r="C2" s="2" t="s">
        <v>56</v>
      </c>
    </row>
    <row r="3" spans="1:3" ht="15.75" customHeight="1" x14ac:dyDescent="0.25">
      <c r="A3" s="2" t="s">
        <v>45</v>
      </c>
      <c r="B3" s="2">
        <v>0.3</v>
      </c>
      <c r="C3" s="2" t="s">
        <v>57</v>
      </c>
    </row>
    <row r="4" spans="1:3" ht="15.75" customHeight="1" x14ac:dyDescent="0.25">
      <c r="A4" s="2" t="s">
        <v>47</v>
      </c>
      <c r="B4" s="2">
        <v>0.3</v>
      </c>
      <c r="C4" s="2" t="s">
        <v>58</v>
      </c>
    </row>
    <row r="5" spans="1:3" ht="15.75" customHeight="1" x14ac:dyDescent="0.25">
      <c r="A5" s="2" t="s">
        <v>49</v>
      </c>
      <c r="B5" s="2">
        <v>0.15</v>
      </c>
      <c r="C5" s="2" t="s">
        <v>59</v>
      </c>
    </row>
    <row r="6" spans="1:3" ht="15.75" customHeight="1" x14ac:dyDescent="0.25">
      <c r="A6" s="2" t="s">
        <v>51</v>
      </c>
      <c r="B6" s="2">
        <v>0.4</v>
      </c>
      <c r="C6" s="2" t="s">
        <v>60</v>
      </c>
    </row>
    <row r="7" spans="1:3" ht="15.75" customHeight="1" x14ac:dyDescent="0.25">
      <c r="A7" s="2" t="s">
        <v>53</v>
      </c>
      <c r="B7" s="2">
        <v>0.35</v>
      </c>
      <c r="C7" s="2" t="s">
        <v>61</v>
      </c>
    </row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8"/>
  <sheetViews>
    <sheetView workbookViewId="0"/>
  </sheetViews>
  <sheetFormatPr defaultColWidth="12.6640625" defaultRowHeight="15" customHeight="1" x14ac:dyDescent="0.25"/>
  <cols>
    <col min="1" max="1" width="6.77734375" customWidth="1"/>
    <col min="2" max="4" width="12.6640625" customWidth="1"/>
    <col min="5" max="5" width="14.77734375" customWidth="1"/>
    <col min="6" max="8" width="12.6640625" customWidth="1"/>
  </cols>
  <sheetData>
    <row r="1" spans="1:7" ht="15.75" customHeight="1" x14ac:dyDescent="0.3">
      <c r="A1" s="7"/>
      <c r="B1" s="7" t="s">
        <v>62</v>
      </c>
    </row>
    <row r="2" spans="1:7" ht="15.75" customHeight="1" x14ac:dyDescent="0.25"/>
    <row r="3" spans="1:7" ht="15.75" customHeight="1" x14ac:dyDescent="0.3">
      <c r="B3" s="8"/>
      <c r="C3" s="8"/>
      <c r="D3" s="8"/>
    </row>
    <row r="4" spans="1:7" ht="15.75" customHeight="1" x14ac:dyDescent="0.3">
      <c r="B4" s="9" t="s">
        <v>63</v>
      </c>
      <c r="C4" s="10">
        <v>0</v>
      </c>
      <c r="D4" s="8"/>
    </row>
    <row r="5" spans="1:7" ht="15.75" customHeight="1" x14ac:dyDescent="0.3">
      <c r="B5" s="9" t="s">
        <v>64</v>
      </c>
      <c r="C5" s="10">
        <v>0</v>
      </c>
      <c r="D5" s="8"/>
    </row>
    <row r="6" spans="1:7" ht="15.75" customHeight="1" x14ac:dyDescent="0.3">
      <c r="B6" s="9" t="s">
        <v>65</v>
      </c>
      <c r="C6" s="11">
        <v>46023</v>
      </c>
      <c r="D6" s="8"/>
    </row>
    <row r="7" spans="1:7" ht="15.75" customHeight="1" x14ac:dyDescent="0.3">
      <c r="B7" s="9" t="s">
        <v>66</v>
      </c>
      <c r="C7" s="12">
        <f>C6 + '01_Control_Panel'!$B$4</f>
        <v>46037</v>
      </c>
      <c r="D7" s="8"/>
    </row>
    <row r="8" spans="1:7" ht="15.75" customHeight="1" x14ac:dyDescent="0.3">
      <c r="B8" s="9" t="s">
        <v>16</v>
      </c>
      <c r="C8" s="10" t="s">
        <v>4</v>
      </c>
      <c r="D8" s="8"/>
    </row>
    <row r="9" spans="1:7" ht="15.75" customHeight="1" x14ac:dyDescent="0.3">
      <c r="B9" s="8"/>
      <c r="C9" s="8"/>
      <c r="D9" s="8"/>
    </row>
    <row r="10" spans="1:7" ht="15.75" customHeight="1" x14ac:dyDescent="0.25"/>
    <row r="11" spans="1:7" ht="15.75" customHeight="1" x14ac:dyDescent="0.25">
      <c r="A11" s="13" t="s">
        <v>67</v>
      </c>
      <c r="B11" s="13" t="s">
        <v>12</v>
      </c>
      <c r="C11" s="13" t="s">
        <v>14</v>
      </c>
      <c r="D11" s="13" t="s">
        <v>68</v>
      </c>
      <c r="E11" s="13" t="s">
        <v>69</v>
      </c>
      <c r="F11" s="13" t="s">
        <v>70</v>
      </c>
      <c r="G11" s="13" t="s">
        <v>2</v>
      </c>
    </row>
    <row r="12" spans="1:7" ht="15.75" customHeight="1" x14ac:dyDescent="0.25">
      <c r="A12" s="2">
        <v>1</v>
      </c>
      <c r="B12" s="2" t="str">
        <f>'02_Supplier_Input'!C5</f>
        <v>93001 Switch</v>
      </c>
      <c r="C12" s="2">
        <f>'02_Supplier_Input'!E5</f>
        <v>1</v>
      </c>
      <c r="D12" s="2">
        <f>'02_Supplier_Input'!R5</f>
        <v>617.4</v>
      </c>
      <c r="E12" s="2">
        <f t="shared" ref="E12:E60" si="0">D12*C12</f>
        <v>617.4</v>
      </c>
      <c r="F12" s="2">
        <f>'02_Supplier_Input'!T5</f>
        <v>694.57499999999993</v>
      </c>
    </row>
    <row r="13" spans="1:7" ht="15.75" customHeight="1" x14ac:dyDescent="0.25">
      <c r="A13" s="2">
        <v>2</v>
      </c>
      <c r="B13" s="2" t="str">
        <f>'02_Supplier_Input'!C6</f>
        <v>AP</v>
      </c>
      <c r="C13" s="2">
        <f>'02_Supplier_Input'!E6</f>
        <v>1</v>
      </c>
      <c r="D13" s="2">
        <f>'02_Supplier_Input'!R6</f>
        <v>441</v>
      </c>
      <c r="E13" s="2">
        <f t="shared" si="0"/>
        <v>441</v>
      </c>
      <c r="F13" s="2">
        <f>'02_Supplier_Input'!T6</f>
        <v>496.125</v>
      </c>
    </row>
    <row r="14" spans="1:7" ht="15.75" customHeight="1" x14ac:dyDescent="0.25">
      <c r="A14" s="2">
        <v>3</v>
      </c>
      <c r="B14" s="2">
        <f>'02_Supplier_Input'!C7</f>
        <v>0</v>
      </c>
      <c r="C14" s="2">
        <f>'02_Supplier_Input'!E7</f>
        <v>1</v>
      </c>
      <c r="D14" s="2">
        <f>'02_Supplier_Input'!R7</f>
        <v>0</v>
      </c>
      <c r="E14" s="2">
        <f t="shared" si="0"/>
        <v>0</v>
      </c>
      <c r="F14" s="2">
        <f>'02_Supplier_Input'!T7</f>
        <v>0</v>
      </c>
    </row>
    <row r="15" spans="1:7" ht="15.75" customHeight="1" x14ac:dyDescent="0.25">
      <c r="A15" s="2">
        <v>4</v>
      </c>
      <c r="B15" s="2">
        <f>'02_Supplier_Input'!C8</f>
        <v>0</v>
      </c>
      <c r="C15" s="2">
        <f>'02_Supplier_Input'!E8</f>
        <v>1</v>
      </c>
      <c r="D15" s="2">
        <f>'02_Supplier_Input'!R8</f>
        <v>0</v>
      </c>
      <c r="E15" s="2">
        <f t="shared" si="0"/>
        <v>0</v>
      </c>
      <c r="F15" s="2">
        <f>'02_Supplier_Input'!T8</f>
        <v>0</v>
      </c>
    </row>
    <row r="16" spans="1:7" ht="15.75" customHeight="1" x14ac:dyDescent="0.25">
      <c r="A16" s="2">
        <v>5</v>
      </c>
      <c r="B16" s="2">
        <f>'02_Supplier_Input'!C9</f>
        <v>0</v>
      </c>
      <c r="C16" s="2">
        <f>'02_Supplier_Input'!E9</f>
        <v>1</v>
      </c>
      <c r="D16" s="2">
        <f>'02_Supplier_Input'!R9</f>
        <v>0</v>
      </c>
      <c r="E16" s="2">
        <f t="shared" si="0"/>
        <v>0</v>
      </c>
      <c r="F16" s="2">
        <f>'02_Supplier_Input'!T9</f>
        <v>0</v>
      </c>
    </row>
    <row r="17" spans="1:6" ht="15.75" customHeight="1" x14ac:dyDescent="0.25">
      <c r="A17" s="2">
        <v>6</v>
      </c>
      <c r="B17" s="2">
        <f>'02_Supplier_Input'!C10</f>
        <v>0</v>
      </c>
      <c r="C17" s="2">
        <f>'02_Supplier_Input'!E10</f>
        <v>1</v>
      </c>
      <c r="D17" s="2">
        <f>'02_Supplier_Input'!R10</f>
        <v>0</v>
      </c>
      <c r="E17" s="2">
        <f t="shared" si="0"/>
        <v>0</v>
      </c>
      <c r="F17" s="2">
        <f>'02_Supplier_Input'!T10</f>
        <v>0</v>
      </c>
    </row>
    <row r="18" spans="1:6" ht="15.75" customHeight="1" x14ac:dyDescent="0.25">
      <c r="A18" s="2">
        <v>7</v>
      </c>
      <c r="B18" s="2">
        <f>'02_Supplier_Input'!C11</f>
        <v>0</v>
      </c>
      <c r="C18" s="2">
        <f>'02_Supplier_Input'!E11</f>
        <v>1</v>
      </c>
      <c r="D18" s="2">
        <f>'02_Supplier_Input'!R11</f>
        <v>0</v>
      </c>
      <c r="E18" s="2">
        <f t="shared" si="0"/>
        <v>0</v>
      </c>
      <c r="F18" s="2">
        <f>'02_Supplier_Input'!T11</f>
        <v>0</v>
      </c>
    </row>
    <row r="19" spans="1:6" ht="15.75" customHeight="1" x14ac:dyDescent="0.25">
      <c r="A19" s="2">
        <v>8</v>
      </c>
      <c r="B19" s="2">
        <f>'02_Supplier_Input'!C12</f>
        <v>0</v>
      </c>
      <c r="C19" s="2">
        <f>'02_Supplier_Input'!E12</f>
        <v>1</v>
      </c>
      <c r="D19" s="2">
        <f>'02_Supplier_Input'!R12</f>
        <v>0</v>
      </c>
      <c r="E19" s="2">
        <f t="shared" si="0"/>
        <v>0</v>
      </c>
      <c r="F19" s="2">
        <f>'02_Supplier_Input'!T12</f>
        <v>0</v>
      </c>
    </row>
    <row r="20" spans="1:6" ht="15.75" customHeight="1" x14ac:dyDescent="0.25">
      <c r="A20" s="2">
        <v>9</v>
      </c>
      <c r="B20" s="2">
        <f>'02_Supplier_Input'!C13</f>
        <v>0</v>
      </c>
      <c r="C20" s="2">
        <f>'02_Supplier_Input'!E13</f>
        <v>1</v>
      </c>
      <c r="D20" s="2">
        <f>'02_Supplier_Input'!R13</f>
        <v>0</v>
      </c>
      <c r="E20" s="2">
        <f t="shared" si="0"/>
        <v>0</v>
      </c>
      <c r="F20" s="2">
        <f>'02_Supplier_Input'!T13</f>
        <v>0</v>
      </c>
    </row>
    <row r="21" spans="1:6" ht="15.75" customHeight="1" x14ac:dyDescent="0.25">
      <c r="A21" s="2">
        <v>10</v>
      </c>
      <c r="B21" s="2">
        <f>'02_Supplier_Input'!C14</f>
        <v>0</v>
      </c>
      <c r="C21" s="2">
        <f>'02_Supplier_Input'!E14</f>
        <v>1</v>
      </c>
      <c r="D21" s="2">
        <f>'02_Supplier_Input'!R14</f>
        <v>0</v>
      </c>
      <c r="E21" s="2">
        <f t="shared" si="0"/>
        <v>0</v>
      </c>
      <c r="F21" s="2">
        <f>'02_Supplier_Input'!T14</f>
        <v>0</v>
      </c>
    </row>
    <row r="22" spans="1:6" ht="15.75" customHeight="1" x14ac:dyDescent="0.25">
      <c r="A22" s="2">
        <v>11</v>
      </c>
      <c r="B22" s="2">
        <f>'02_Supplier_Input'!C15</f>
        <v>0</v>
      </c>
      <c r="C22" s="2">
        <f>'02_Supplier_Input'!E15</f>
        <v>1</v>
      </c>
      <c r="D22" s="2">
        <f>'02_Supplier_Input'!R15</f>
        <v>0</v>
      </c>
      <c r="E22" s="2">
        <f t="shared" si="0"/>
        <v>0</v>
      </c>
      <c r="F22" s="2">
        <f>'02_Supplier_Input'!T15</f>
        <v>0</v>
      </c>
    </row>
    <row r="23" spans="1:6" ht="15.75" customHeight="1" x14ac:dyDescent="0.25">
      <c r="A23" s="2">
        <v>12</v>
      </c>
      <c r="B23" s="2">
        <f>'02_Supplier_Input'!C16</f>
        <v>0</v>
      </c>
      <c r="C23" s="2">
        <f>'02_Supplier_Input'!E16</f>
        <v>1</v>
      </c>
      <c r="D23" s="2">
        <f>'02_Supplier_Input'!R16</f>
        <v>0</v>
      </c>
      <c r="E23" s="2">
        <f t="shared" si="0"/>
        <v>0</v>
      </c>
      <c r="F23" s="2">
        <f>'02_Supplier_Input'!T16</f>
        <v>0</v>
      </c>
    </row>
    <row r="24" spans="1:6" ht="15.75" customHeight="1" x14ac:dyDescent="0.25">
      <c r="A24" s="2">
        <v>13</v>
      </c>
      <c r="B24" s="2">
        <f>'02_Supplier_Input'!C17</f>
        <v>0</v>
      </c>
      <c r="C24" s="2">
        <f>'02_Supplier_Input'!E17</f>
        <v>1</v>
      </c>
      <c r="D24" s="2">
        <f>'02_Supplier_Input'!R17</f>
        <v>0</v>
      </c>
      <c r="E24" s="2">
        <f t="shared" si="0"/>
        <v>0</v>
      </c>
      <c r="F24" s="2">
        <f>'02_Supplier_Input'!T17</f>
        <v>0</v>
      </c>
    </row>
    <row r="25" spans="1:6" ht="15.75" customHeight="1" x14ac:dyDescent="0.25">
      <c r="A25" s="2">
        <v>14</v>
      </c>
      <c r="B25" s="2">
        <f>'02_Supplier_Input'!C18</f>
        <v>0</v>
      </c>
      <c r="C25" s="2">
        <f>'02_Supplier_Input'!E18</f>
        <v>1</v>
      </c>
      <c r="D25" s="2">
        <f>'02_Supplier_Input'!R18</f>
        <v>0</v>
      </c>
      <c r="E25" s="2">
        <f t="shared" si="0"/>
        <v>0</v>
      </c>
      <c r="F25" s="2">
        <f>'02_Supplier_Input'!T18</f>
        <v>0</v>
      </c>
    </row>
    <row r="26" spans="1:6" ht="15.75" customHeight="1" x14ac:dyDescent="0.25">
      <c r="A26" s="2">
        <v>15</v>
      </c>
      <c r="B26" s="2">
        <f>'02_Supplier_Input'!C19</f>
        <v>0</v>
      </c>
      <c r="C26" s="2">
        <f>'02_Supplier_Input'!E19</f>
        <v>1</v>
      </c>
      <c r="D26" s="2">
        <f>'02_Supplier_Input'!R19</f>
        <v>0</v>
      </c>
      <c r="E26" s="2">
        <f t="shared" si="0"/>
        <v>0</v>
      </c>
      <c r="F26" s="2">
        <f>'02_Supplier_Input'!T19</f>
        <v>0</v>
      </c>
    </row>
    <row r="27" spans="1:6" ht="15.75" customHeight="1" x14ac:dyDescent="0.25">
      <c r="A27" s="2">
        <v>16</v>
      </c>
      <c r="B27" s="2">
        <f>'02_Supplier_Input'!C20</f>
        <v>0</v>
      </c>
      <c r="C27" s="2">
        <f>'02_Supplier_Input'!E20</f>
        <v>1</v>
      </c>
      <c r="D27" s="2">
        <f>'02_Supplier_Input'!R20</f>
        <v>0</v>
      </c>
      <c r="E27" s="2">
        <f t="shared" si="0"/>
        <v>0</v>
      </c>
      <c r="F27" s="2">
        <f>'02_Supplier_Input'!T20</f>
        <v>0</v>
      </c>
    </row>
    <row r="28" spans="1:6" ht="15.75" customHeight="1" x14ac:dyDescent="0.25">
      <c r="A28" s="2">
        <v>17</v>
      </c>
      <c r="B28" s="2">
        <f>'02_Supplier_Input'!C21</f>
        <v>0</v>
      </c>
      <c r="C28" s="2">
        <f>'02_Supplier_Input'!E21</f>
        <v>1</v>
      </c>
      <c r="D28" s="2">
        <f>'02_Supplier_Input'!R21</f>
        <v>0</v>
      </c>
      <c r="E28" s="2">
        <f t="shared" si="0"/>
        <v>0</v>
      </c>
      <c r="F28" s="2">
        <f>'02_Supplier_Input'!T21</f>
        <v>0</v>
      </c>
    </row>
    <row r="29" spans="1:6" ht="15.75" customHeight="1" x14ac:dyDescent="0.25">
      <c r="A29" s="2">
        <v>18</v>
      </c>
      <c r="B29" s="2">
        <f>'02_Supplier_Input'!C22</f>
        <v>0</v>
      </c>
      <c r="C29" s="2">
        <f>'02_Supplier_Input'!E22</f>
        <v>1</v>
      </c>
      <c r="D29" s="2">
        <f>'02_Supplier_Input'!R22</f>
        <v>0</v>
      </c>
      <c r="E29" s="2">
        <f t="shared" si="0"/>
        <v>0</v>
      </c>
      <c r="F29" s="2">
        <f>'02_Supplier_Input'!T22</f>
        <v>0</v>
      </c>
    </row>
    <row r="30" spans="1:6" ht="15.75" customHeight="1" x14ac:dyDescent="0.25">
      <c r="A30" s="2">
        <v>19</v>
      </c>
      <c r="B30" s="2">
        <f>'02_Supplier_Input'!C23</f>
        <v>0</v>
      </c>
      <c r="C30" s="2">
        <f>'02_Supplier_Input'!E23</f>
        <v>1</v>
      </c>
      <c r="D30" s="2">
        <f>'02_Supplier_Input'!R23</f>
        <v>0</v>
      </c>
      <c r="E30" s="2">
        <f t="shared" si="0"/>
        <v>0</v>
      </c>
      <c r="F30" s="2">
        <f>'02_Supplier_Input'!T23</f>
        <v>0</v>
      </c>
    </row>
    <row r="31" spans="1:6" ht="15.75" customHeight="1" x14ac:dyDescent="0.25">
      <c r="A31" s="2">
        <v>20</v>
      </c>
      <c r="B31" s="2">
        <f>'02_Supplier_Input'!C24</f>
        <v>0</v>
      </c>
      <c r="C31" s="2">
        <f>'02_Supplier_Input'!E24</f>
        <v>1</v>
      </c>
      <c r="D31" s="2">
        <f>'02_Supplier_Input'!R24</f>
        <v>0</v>
      </c>
      <c r="E31" s="2">
        <f t="shared" si="0"/>
        <v>0</v>
      </c>
      <c r="F31" s="2">
        <f>'02_Supplier_Input'!T24</f>
        <v>0</v>
      </c>
    </row>
    <row r="32" spans="1:6" ht="15.75" customHeight="1" x14ac:dyDescent="0.25">
      <c r="A32" s="2">
        <v>21</v>
      </c>
      <c r="B32" s="2">
        <f>'02_Supplier_Input'!C25</f>
        <v>0</v>
      </c>
      <c r="C32" s="2">
        <f>'02_Supplier_Input'!E25</f>
        <v>1</v>
      </c>
      <c r="D32" s="2">
        <f>'02_Supplier_Input'!R25</f>
        <v>0</v>
      </c>
      <c r="E32" s="2">
        <f t="shared" si="0"/>
        <v>0</v>
      </c>
      <c r="F32" s="2">
        <f>'02_Supplier_Input'!T25</f>
        <v>0</v>
      </c>
    </row>
    <row r="33" spans="1:6" ht="15.75" customHeight="1" x14ac:dyDescent="0.25">
      <c r="A33" s="2">
        <v>22</v>
      </c>
      <c r="B33" s="2">
        <f>'02_Supplier_Input'!C26</f>
        <v>0</v>
      </c>
      <c r="C33" s="2">
        <f>'02_Supplier_Input'!E26</f>
        <v>1</v>
      </c>
      <c r="D33" s="2">
        <f>'02_Supplier_Input'!R26</f>
        <v>0</v>
      </c>
      <c r="E33" s="2">
        <f t="shared" si="0"/>
        <v>0</v>
      </c>
      <c r="F33" s="2">
        <f>'02_Supplier_Input'!T26</f>
        <v>0</v>
      </c>
    </row>
    <row r="34" spans="1:6" ht="15.75" customHeight="1" x14ac:dyDescent="0.25">
      <c r="A34" s="2">
        <v>23</v>
      </c>
      <c r="B34" s="2">
        <f>'02_Supplier_Input'!C27</f>
        <v>0</v>
      </c>
      <c r="C34" s="2">
        <f>'02_Supplier_Input'!E27</f>
        <v>1</v>
      </c>
      <c r="D34" s="2">
        <f>'02_Supplier_Input'!R27</f>
        <v>0</v>
      </c>
      <c r="E34" s="2">
        <f t="shared" si="0"/>
        <v>0</v>
      </c>
      <c r="F34" s="2">
        <f>'02_Supplier_Input'!T27</f>
        <v>0</v>
      </c>
    </row>
    <row r="35" spans="1:6" ht="15.75" customHeight="1" x14ac:dyDescent="0.25">
      <c r="A35" s="2">
        <v>24</v>
      </c>
      <c r="B35" s="2">
        <f>'02_Supplier_Input'!C28</f>
        <v>0</v>
      </c>
      <c r="C35" s="2">
        <f>'02_Supplier_Input'!E28</f>
        <v>1</v>
      </c>
      <c r="D35" s="2">
        <f>'02_Supplier_Input'!R28</f>
        <v>0</v>
      </c>
      <c r="E35" s="2">
        <f t="shared" si="0"/>
        <v>0</v>
      </c>
      <c r="F35" s="2">
        <f>'02_Supplier_Input'!T28</f>
        <v>0</v>
      </c>
    </row>
    <row r="36" spans="1:6" ht="15.75" customHeight="1" x14ac:dyDescent="0.25">
      <c r="A36" s="2">
        <v>25</v>
      </c>
      <c r="B36" s="2">
        <f>'02_Supplier_Input'!C29</f>
        <v>0</v>
      </c>
      <c r="C36" s="2">
        <f>'02_Supplier_Input'!E29</f>
        <v>1</v>
      </c>
      <c r="D36" s="2">
        <f>'02_Supplier_Input'!R29</f>
        <v>0</v>
      </c>
      <c r="E36" s="2">
        <f t="shared" si="0"/>
        <v>0</v>
      </c>
      <c r="F36" s="2">
        <f>'02_Supplier_Input'!T29</f>
        <v>0</v>
      </c>
    </row>
    <row r="37" spans="1:6" ht="15.75" customHeight="1" x14ac:dyDescent="0.25">
      <c r="A37" s="2">
        <v>26</v>
      </c>
      <c r="B37" s="2">
        <f>'02_Supplier_Input'!C30</f>
        <v>0</v>
      </c>
      <c r="C37" s="2">
        <f>'02_Supplier_Input'!E30</f>
        <v>1</v>
      </c>
      <c r="D37" s="2">
        <f>'02_Supplier_Input'!R30</f>
        <v>0</v>
      </c>
      <c r="E37" s="2">
        <f t="shared" si="0"/>
        <v>0</v>
      </c>
      <c r="F37" s="2">
        <f>'02_Supplier_Input'!T30</f>
        <v>0</v>
      </c>
    </row>
    <row r="38" spans="1:6" ht="15.75" customHeight="1" x14ac:dyDescent="0.25">
      <c r="A38" s="2">
        <v>27</v>
      </c>
      <c r="B38" s="2">
        <f>'02_Supplier_Input'!C31</f>
        <v>0</v>
      </c>
      <c r="C38" s="2">
        <f>'02_Supplier_Input'!E31</f>
        <v>1</v>
      </c>
      <c r="D38" s="2">
        <f>'02_Supplier_Input'!R31</f>
        <v>0</v>
      </c>
      <c r="E38" s="2">
        <f t="shared" si="0"/>
        <v>0</v>
      </c>
      <c r="F38" s="2">
        <f>'02_Supplier_Input'!T31</f>
        <v>0</v>
      </c>
    </row>
    <row r="39" spans="1:6" ht="15.75" customHeight="1" x14ac:dyDescent="0.25">
      <c r="A39" s="2">
        <v>28</v>
      </c>
      <c r="B39" s="2">
        <f>'02_Supplier_Input'!C32</f>
        <v>0</v>
      </c>
      <c r="C39" s="2">
        <f>'02_Supplier_Input'!E32</f>
        <v>1</v>
      </c>
      <c r="D39" s="2">
        <f>'02_Supplier_Input'!R32</f>
        <v>0</v>
      </c>
      <c r="E39" s="2">
        <f t="shared" si="0"/>
        <v>0</v>
      </c>
      <c r="F39" s="2">
        <f>'02_Supplier_Input'!T32</f>
        <v>0</v>
      </c>
    </row>
    <row r="40" spans="1:6" ht="15.75" customHeight="1" x14ac:dyDescent="0.25">
      <c r="A40" s="2">
        <v>29</v>
      </c>
      <c r="B40" s="2">
        <f>'02_Supplier_Input'!C33</f>
        <v>0</v>
      </c>
      <c r="C40" s="2">
        <f>'02_Supplier_Input'!E33</f>
        <v>1</v>
      </c>
      <c r="D40" s="2">
        <f>'02_Supplier_Input'!R33</f>
        <v>0</v>
      </c>
      <c r="E40" s="2">
        <f t="shared" si="0"/>
        <v>0</v>
      </c>
      <c r="F40" s="2">
        <f>'02_Supplier_Input'!T33</f>
        <v>0</v>
      </c>
    </row>
    <row r="41" spans="1:6" ht="15.75" customHeight="1" x14ac:dyDescent="0.25">
      <c r="A41" s="2">
        <v>30</v>
      </c>
      <c r="B41" s="2">
        <f>'02_Supplier_Input'!C34</f>
        <v>0</v>
      </c>
      <c r="C41" s="2">
        <f>'02_Supplier_Input'!E34</f>
        <v>1</v>
      </c>
      <c r="D41" s="2">
        <f>'02_Supplier_Input'!R34</f>
        <v>0</v>
      </c>
      <c r="E41" s="2">
        <f t="shared" si="0"/>
        <v>0</v>
      </c>
      <c r="F41" s="2">
        <f>'02_Supplier_Input'!T34</f>
        <v>0</v>
      </c>
    </row>
    <row r="42" spans="1:6" ht="15.75" customHeight="1" x14ac:dyDescent="0.25">
      <c r="A42" s="2">
        <v>31</v>
      </c>
      <c r="B42" s="2">
        <f>'02_Supplier_Input'!C35</f>
        <v>0</v>
      </c>
      <c r="C42" s="2">
        <f>'02_Supplier_Input'!E35</f>
        <v>1</v>
      </c>
      <c r="D42" s="2">
        <f>'02_Supplier_Input'!R35</f>
        <v>0</v>
      </c>
      <c r="E42" s="2">
        <f t="shared" si="0"/>
        <v>0</v>
      </c>
      <c r="F42" s="2">
        <f>'02_Supplier_Input'!T35</f>
        <v>0</v>
      </c>
    </row>
    <row r="43" spans="1:6" ht="15.75" customHeight="1" x14ac:dyDescent="0.25">
      <c r="A43" s="2">
        <v>32</v>
      </c>
      <c r="B43" s="2">
        <f>'02_Supplier_Input'!C36</f>
        <v>0</v>
      </c>
      <c r="C43" s="2">
        <f>'02_Supplier_Input'!E36</f>
        <v>1</v>
      </c>
      <c r="D43" s="2">
        <f>'02_Supplier_Input'!R36</f>
        <v>0</v>
      </c>
      <c r="E43" s="2">
        <f t="shared" si="0"/>
        <v>0</v>
      </c>
      <c r="F43" s="2">
        <f>'02_Supplier_Input'!T36</f>
        <v>0</v>
      </c>
    </row>
    <row r="44" spans="1:6" ht="15.75" customHeight="1" x14ac:dyDescent="0.25">
      <c r="A44" s="2">
        <v>33</v>
      </c>
      <c r="B44" s="2">
        <f>'02_Supplier_Input'!C37</f>
        <v>0</v>
      </c>
      <c r="C44" s="2">
        <f>'02_Supplier_Input'!E37</f>
        <v>1</v>
      </c>
      <c r="D44" s="2">
        <f>'02_Supplier_Input'!R37</f>
        <v>0</v>
      </c>
      <c r="E44" s="2">
        <f t="shared" si="0"/>
        <v>0</v>
      </c>
      <c r="F44" s="2">
        <f>'02_Supplier_Input'!T37</f>
        <v>0</v>
      </c>
    </row>
    <row r="45" spans="1:6" ht="15.75" customHeight="1" x14ac:dyDescent="0.25">
      <c r="A45" s="2">
        <v>34</v>
      </c>
      <c r="B45" s="2">
        <f>'02_Supplier_Input'!C38</f>
        <v>0</v>
      </c>
      <c r="C45" s="2">
        <f>'02_Supplier_Input'!E38</f>
        <v>1</v>
      </c>
      <c r="D45" s="2">
        <f>'02_Supplier_Input'!R38</f>
        <v>0</v>
      </c>
      <c r="E45" s="2">
        <f t="shared" si="0"/>
        <v>0</v>
      </c>
      <c r="F45" s="2">
        <f>'02_Supplier_Input'!T38</f>
        <v>0</v>
      </c>
    </row>
    <row r="46" spans="1:6" ht="15.75" customHeight="1" x14ac:dyDescent="0.25">
      <c r="A46" s="2">
        <v>35</v>
      </c>
      <c r="B46" s="2">
        <f>'02_Supplier_Input'!C39</f>
        <v>0</v>
      </c>
      <c r="C46" s="2">
        <f>'02_Supplier_Input'!E39</f>
        <v>1</v>
      </c>
      <c r="D46" s="2">
        <f>'02_Supplier_Input'!R39</f>
        <v>0</v>
      </c>
      <c r="E46" s="2">
        <f t="shared" si="0"/>
        <v>0</v>
      </c>
      <c r="F46" s="2">
        <f>'02_Supplier_Input'!T39</f>
        <v>0</v>
      </c>
    </row>
    <row r="47" spans="1:6" ht="15.75" customHeight="1" x14ac:dyDescent="0.25">
      <c r="A47" s="2">
        <v>36</v>
      </c>
      <c r="B47" s="2">
        <f>'02_Supplier_Input'!C40</f>
        <v>0</v>
      </c>
      <c r="C47" s="2">
        <f>'02_Supplier_Input'!E40</f>
        <v>1</v>
      </c>
      <c r="D47" s="2">
        <f>'02_Supplier_Input'!R40</f>
        <v>0</v>
      </c>
      <c r="E47" s="2">
        <f t="shared" si="0"/>
        <v>0</v>
      </c>
      <c r="F47" s="2">
        <f>'02_Supplier_Input'!T40</f>
        <v>0</v>
      </c>
    </row>
    <row r="48" spans="1:6" ht="15.75" customHeight="1" x14ac:dyDescent="0.25">
      <c r="A48" s="2">
        <v>37</v>
      </c>
      <c r="B48" s="2">
        <f>'02_Supplier_Input'!C41</f>
        <v>0</v>
      </c>
      <c r="C48" s="2">
        <f>'02_Supplier_Input'!E41</f>
        <v>1</v>
      </c>
      <c r="D48" s="2">
        <f>'02_Supplier_Input'!R41</f>
        <v>0</v>
      </c>
      <c r="E48" s="2">
        <f t="shared" si="0"/>
        <v>0</v>
      </c>
      <c r="F48" s="2">
        <f>'02_Supplier_Input'!T41</f>
        <v>0</v>
      </c>
    </row>
    <row r="49" spans="1:7" ht="15.75" customHeight="1" x14ac:dyDescent="0.25">
      <c r="A49" s="2">
        <v>38</v>
      </c>
      <c r="B49" s="2">
        <f>'02_Supplier_Input'!C42</f>
        <v>0</v>
      </c>
      <c r="C49" s="2">
        <f>'02_Supplier_Input'!E42</f>
        <v>1</v>
      </c>
      <c r="D49" s="2">
        <f>'02_Supplier_Input'!R42</f>
        <v>0</v>
      </c>
      <c r="E49" s="2">
        <f t="shared" si="0"/>
        <v>0</v>
      </c>
      <c r="F49" s="2">
        <f>'02_Supplier_Input'!T42</f>
        <v>0</v>
      </c>
    </row>
    <row r="50" spans="1:7" ht="15.75" customHeight="1" x14ac:dyDescent="0.25">
      <c r="A50" s="2">
        <v>39</v>
      </c>
      <c r="B50" s="2">
        <f>'02_Supplier_Input'!C43</f>
        <v>0</v>
      </c>
      <c r="C50" s="2">
        <f>'02_Supplier_Input'!E43</f>
        <v>1</v>
      </c>
      <c r="D50" s="2">
        <f>'02_Supplier_Input'!R43</f>
        <v>0</v>
      </c>
      <c r="E50" s="2">
        <f t="shared" si="0"/>
        <v>0</v>
      </c>
      <c r="F50" s="2">
        <f>'02_Supplier_Input'!T43</f>
        <v>0</v>
      </c>
    </row>
    <row r="51" spans="1:7" ht="15.75" customHeight="1" x14ac:dyDescent="0.25">
      <c r="A51" s="2">
        <v>40</v>
      </c>
      <c r="B51" s="2">
        <f>'02_Supplier_Input'!C44</f>
        <v>0</v>
      </c>
      <c r="C51" s="2">
        <f>'02_Supplier_Input'!E44</f>
        <v>1</v>
      </c>
      <c r="D51" s="2">
        <f>'02_Supplier_Input'!R44</f>
        <v>0</v>
      </c>
      <c r="E51" s="2">
        <f t="shared" si="0"/>
        <v>0</v>
      </c>
      <c r="F51" s="2">
        <f>'02_Supplier_Input'!T44</f>
        <v>0</v>
      </c>
    </row>
    <row r="52" spans="1:7" ht="15.75" customHeight="1" x14ac:dyDescent="0.25">
      <c r="A52" s="2">
        <v>41</v>
      </c>
      <c r="B52" s="2">
        <f>'02_Supplier_Input'!C45</f>
        <v>0</v>
      </c>
      <c r="C52" s="2">
        <f>'02_Supplier_Input'!E45</f>
        <v>1</v>
      </c>
      <c r="D52" s="2">
        <f>'02_Supplier_Input'!R45</f>
        <v>0</v>
      </c>
      <c r="E52" s="2">
        <f t="shared" si="0"/>
        <v>0</v>
      </c>
      <c r="F52" s="2">
        <f>'02_Supplier_Input'!T45</f>
        <v>0</v>
      </c>
    </row>
    <row r="53" spans="1:7" ht="15.75" customHeight="1" x14ac:dyDescent="0.25">
      <c r="A53" s="2">
        <v>42</v>
      </c>
      <c r="B53" s="2">
        <f>'02_Supplier_Input'!C46</f>
        <v>0</v>
      </c>
      <c r="C53" s="2">
        <f>'02_Supplier_Input'!E46</f>
        <v>1</v>
      </c>
      <c r="D53" s="2">
        <f>'02_Supplier_Input'!R46</f>
        <v>0</v>
      </c>
      <c r="E53" s="2">
        <f t="shared" si="0"/>
        <v>0</v>
      </c>
      <c r="F53" s="2">
        <f>'02_Supplier_Input'!T46</f>
        <v>0</v>
      </c>
    </row>
    <row r="54" spans="1:7" ht="15.75" customHeight="1" x14ac:dyDescent="0.25">
      <c r="A54" s="2">
        <v>43</v>
      </c>
      <c r="B54" s="2">
        <f>'02_Supplier_Input'!C47</f>
        <v>0</v>
      </c>
      <c r="C54" s="2">
        <f>'02_Supplier_Input'!E47</f>
        <v>1</v>
      </c>
      <c r="D54" s="2">
        <f>'02_Supplier_Input'!R47</f>
        <v>0</v>
      </c>
      <c r="E54" s="2">
        <f t="shared" si="0"/>
        <v>0</v>
      </c>
      <c r="F54" s="2">
        <f>'02_Supplier_Input'!T47</f>
        <v>0</v>
      </c>
    </row>
    <row r="55" spans="1:7" ht="15.75" customHeight="1" x14ac:dyDescent="0.25">
      <c r="A55" s="2">
        <v>44</v>
      </c>
      <c r="B55" s="2">
        <f>'02_Supplier_Input'!C48</f>
        <v>0</v>
      </c>
      <c r="C55" s="2">
        <f>'02_Supplier_Input'!E48</f>
        <v>1</v>
      </c>
      <c r="D55" s="2">
        <f>'02_Supplier_Input'!R48</f>
        <v>0</v>
      </c>
      <c r="E55" s="2">
        <f t="shared" si="0"/>
        <v>0</v>
      </c>
      <c r="F55" s="2">
        <f>'02_Supplier_Input'!T48</f>
        <v>0</v>
      </c>
    </row>
    <row r="56" spans="1:7" ht="15.75" customHeight="1" x14ac:dyDescent="0.25">
      <c r="A56" s="2">
        <v>45</v>
      </c>
      <c r="B56" s="2">
        <f>'02_Supplier_Input'!C49</f>
        <v>0</v>
      </c>
      <c r="C56" s="2">
        <f>'02_Supplier_Input'!E49</f>
        <v>1</v>
      </c>
      <c r="D56" s="2">
        <f>'02_Supplier_Input'!R49</f>
        <v>0</v>
      </c>
      <c r="E56" s="2">
        <f t="shared" si="0"/>
        <v>0</v>
      </c>
      <c r="F56" s="2">
        <f>'02_Supplier_Input'!T49</f>
        <v>0</v>
      </c>
    </row>
    <row r="57" spans="1:7" ht="15.75" customHeight="1" x14ac:dyDescent="0.25">
      <c r="A57" s="2">
        <v>46</v>
      </c>
      <c r="B57" s="2">
        <f>'02_Supplier_Input'!C50</f>
        <v>0</v>
      </c>
      <c r="C57" s="2">
        <f>'02_Supplier_Input'!E50</f>
        <v>1</v>
      </c>
      <c r="D57" s="2">
        <f>'02_Supplier_Input'!R50</f>
        <v>0</v>
      </c>
      <c r="E57" s="2">
        <f t="shared" si="0"/>
        <v>0</v>
      </c>
      <c r="F57" s="2">
        <f>'02_Supplier_Input'!T50</f>
        <v>0</v>
      </c>
    </row>
    <row r="58" spans="1:7" ht="15.75" customHeight="1" x14ac:dyDescent="0.25">
      <c r="A58" s="2">
        <v>47</v>
      </c>
      <c r="B58" s="2">
        <f>'02_Supplier_Input'!C51</f>
        <v>0</v>
      </c>
      <c r="C58" s="2">
        <f>'02_Supplier_Input'!E51</f>
        <v>1</v>
      </c>
      <c r="D58" s="2">
        <f>'02_Supplier_Input'!R51</f>
        <v>0</v>
      </c>
      <c r="E58" s="2">
        <f t="shared" si="0"/>
        <v>0</v>
      </c>
      <c r="F58" s="2">
        <f>'02_Supplier_Input'!T51</f>
        <v>0</v>
      </c>
    </row>
    <row r="59" spans="1:7" ht="15.75" customHeight="1" x14ac:dyDescent="0.25">
      <c r="A59" s="2">
        <v>48</v>
      </c>
      <c r="B59" s="2">
        <f>'02_Supplier_Input'!C52</f>
        <v>0</v>
      </c>
      <c r="C59" s="2">
        <f>'02_Supplier_Input'!E52</f>
        <v>1</v>
      </c>
      <c r="D59" s="2">
        <f>'02_Supplier_Input'!R52</f>
        <v>0</v>
      </c>
      <c r="E59" s="2">
        <f t="shared" si="0"/>
        <v>0</v>
      </c>
      <c r="F59" s="2">
        <f>'02_Supplier_Input'!T52</f>
        <v>0</v>
      </c>
    </row>
    <row r="60" spans="1:7" ht="15.75" customHeight="1" x14ac:dyDescent="0.25">
      <c r="A60" s="2">
        <v>49</v>
      </c>
      <c r="B60" s="2">
        <f>'02_Supplier_Input'!C53</f>
        <v>0</v>
      </c>
      <c r="C60" s="2">
        <f>'02_Supplier_Input'!E53</f>
        <v>1</v>
      </c>
      <c r="D60" s="2">
        <f>'02_Supplier_Input'!R53</f>
        <v>0</v>
      </c>
      <c r="E60" s="2">
        <f t="shared" si="0"/>
        <v>0</v>
      </c>
      <c r="F60" s="2">
        <f>'02_Supplier_Input'!T53</f>
        <v>0</v>
      </c>
    </row>
    <row r="61" spans="1:7" ht="15.75" customHeight="1" x14ac:dyDescent="0.25"/>
    <row r="62" spans="1:7" ht="15.75" customHeight="1" x14ac:dyDescent="0.25"/>
    <row r="63" spans="1:7" ht="15.75" customHeight="1" x14ac:dyDescent="0.3">
      <c r="B63" s="8"/>
      <c r="C63" s="8"/>
      <c r="D63" s="8"/>
      <c r="E63" s="8"/>
      <c r="F63" s="8"/>
      <c r="G63" s="8"/>
    </row>
    <row r="64" spans="1:7" ht="15.75" customHeight="1" x14ac:dyDescent="0.3">
      <c r="B64" s="8"/>
      <c r="C64" s="8"/>
      <c r="D64" s="8"/>
      <c r="E64" s="14" t="s">
        <v>71</v>
      </c>
      <c r="F64" s="14">
        <f>SUM(E12:E60)</f>
        <v>1058.4000000000001</v>
      </c>
      <c r="G64" s="8"/>
    </row>
    <row r="65" spans="2:7" ht="15.75" customHeight="1" x14ac:dyDescent="0.3">
      <c r="B65" s="8"/>
      <c r="C65" s="8"/>
      <c r="D65" s="8"/>
      <c r="E65" s="14" t="s">
        <v>72</v>
      </c>
      <c r="F65" s="14">
        <f>SUM(F12:F60)</f>
        <v>1190.6999999999998</v>
      </c>
      <c r="G65" s="8"/>
    </row>
    <row r="66" spans="2:7" ht="15.75" customHeight="1" x14ac:dyDescent="0.3">
      <c r="C66" s="8"/>
      <c r="D66" s="8"/>
      <c r="E66" s="14" t="s">
        <v>73</v>
      </c>
      <c r="F66" s="14">
        <f>F65</f>
        <v>1190.6999999999998</v>
      </c>
      <c r="G66" s="8"/>
    </row>
    <row r="67" spans="2:7" ht="15.75" customHeight="1" x14ac:dyDescent="0.3">
      <c r="B67" s="15" t="s">
        <v>74</v>
      </c>
      <c r="C67" s="8"/>
      <c r="D67" s="8"/>
      <c r="E67" s="8"/>
      <c r="F67" s="8"/>
      <c r="G67" s="8"/>
    </row>
    <row r="68" spans="2:7" ht="15.75" customHeight="1" x14ac:dyDescent="0.3">
      <c r="B68" s="22" t="s">
        <v>75</v>
      </c>
      <c r="C68" s="23"/>
      <c r="D68" s="23"/>
      <c r="E68" s="23"/>
      <c r="F68" s="23"/>
      <c r="G68" s="23"/>
    </row>
    <row r="69" spans="2:7" ht="15.75" customHeight="1" x14ac:dyDescent="0.3">
      <c r="B69" s="22" t="s">
        <v>76</v>
      </c>
      <c r="C69" s="23"/>
      <c r="D69" s="23"/>
      <c r="E69" s="23"/>
      <c r="F69" s="23"/>
      <c r="G69" s="23"/>
    </row>
    <row r="70" spans="2:7" ht="15.75" customHeight="1" x14ac:dyDescent="0.3">
      <c r="B70" s="22" t="s">
        <v>77</v>
      </c>
      <c r="C70" s="23"/>
      <c r="D70" s="23"/>
      <c r="E70" s="23"/>
      <c r="F70" s="23"/>
      <c r="G70" s="23"/>
    </row>
    <row r="71" spans="2:7" ht="15.75" customHeight="1" x14ac:dyDescent="0.3">
      <c r="B71" s="22" t="s">
        <v>78</v>
      </c>
      <c r="C71" s="23"/>
      <c r="D71" s="23"/>
      <c r="E71" s="23"/>
      <c r="F71" s="23"/>
      <c r="G71" s="23"/>
    </row>
    <row r="72" spans="2:7" ht="15.75" customHeight="1" x14ac:dyDescent="0.25"/>
    <row r="73" spans="2:7" ht="15.75" customHeight="1" x14ac:dyDescent="0.25"/>
    <row r="74" spans="2:7" ht="15.75" customHeight="1" x14ac:dyDescent="0.25"/>
    <row r="75" spans="2:7" ht="15.75" customHeight="1" x14ac:dyDescent="0.25"/>
    <row r="76" spans="2:7" ht="15.75" customHeight="1" x14ac:dyDescent="0.25"/>
    <row r="77" spans="2:7" ht="15.75" customHeight="1" x14ac:dyDescent="0.25"/>
    <row r="78" spans="2:7" ht="15.75" customHeight="1" x14ac:dyDescent="0.25"/>
    <row r="79" spans="2:7" ht="15.75" customHeight="1" x14ac:dyDescent="0.25"/>
    <row r="80" spans="2: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4">
    <mergeCell ref="B68:G68"/>
    <mergeCell ref="B69:G69"/>
    <mergeCell ref="B70:G70"/>
    <mergeCell ref="B71:G7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22"/>
  <sheetViews>
    <sheetView workbookViewId="0"/>
  </sheetViews>
  <sheetFormatPr defaultColWidth="12.6640625" defaultRowHeight="15" customHeight="1" x14ac:dyDescent="0.25"/>
  <cols>
    <col min="1" max="1" width="19.88671875" customWidth="1"/>
  </cols>
  <sheetData>
    <row r="1" spans="1:4" x14ac:dyDescent="0.25">
      <c r="A1" s="16" t="s">
        <v>79</v>
      </c>
      <c r="B1" s="1" t="s">
        <v>16</v>
      </c>
      <c r="C1" s="1"/>
      <c r="D1" s="1"/>
    </row>
    <row r="2" spans="1:4" x14ac:dyDescent="0.25">
      <c r="A2" s="5" t="s">
        <v>80</v>
      </c>
      <c r="B2" s="2" t="s">
        <v>41</v>
      </c>
      <c r="C2" s="2"/>
      <c r="D2" s="6"/>
    </row>
    <row r="3" spans="1:4" x14ac:dyDescent="0.25">
      <c r="A3" s="5" t="s">
        <v>81</v>
      </c>
      <c r="B3" s="2" t="s">
        <v>41</v>
      </c>
      <c r="C3" s="2"/>
      <c r="D3" s="6"/>
    </row>
    <row r="4" spans="1:4" x14ac:dyDescent="0.25">
      <c r="A4" s="5" t="s">
        <v>82</v>
      </c>
      <c r="B4" s="2" t="s">
        <v>41</v>
      </c>
      <c r="C4" s="2"/>
      <c r="D4" s="6"/>
    </row>
    <row r="5" spans="1:4" x14ac:dyDescent="0.25">
      <c r="A5" s="5" t="s">
        <v>83</v>
      </c>
      <c r="B5" s="2" t="s">
        <v>41</v>
      </c>
      <c r="C5" s="2"/>
      <c r="D5" s="6"/>
    </row>
    <row r="6" spans="1:4" x14ac:dyDescent="0.25">
      <c r="A6" s="5" t="s">
        <v>84</v>
      </c>
      <c r="B6" s="2" t="s">
        <v>41</v>
      </c>
      <c r="C6" s="2"/>
      <c r="D6" s="6"/>
    </row>
    <row r="7" spans="1:4" x14ac:dyDescent="0.25">
      <c r="A7" s="5" t="s">
        <v>85</v>
      </c>
      <c r="B7" s="2" t="s">
        <v>41</v>
      </c>
    </row>
    <row r="8" spans="1:4" x14ac:dyDescent="0.25">
      <c r="A8" s="5" t="s">
        <v>30</v>
      </c>
      <c r="B8" s="2" t="s">
        <v>41</v>
      </c>
    </row>
    <row r="9" spans="1:4" x14ac:dyDescent="0.25">
      <c r="A9" s="17" t="s">
        <v>86</v>
      </c>
      <c r="B9" s="5" t="s">
        <v>40</v>
      </c>
    </row>
    <row r="10" spans="1:4" x14ac:dyDescent="0.25">
      <c r="A10" s="17" t="s">
        <v>36</v>
      </c>
      <c r="B10" s="5" t="s">
        <v>40</v>
      </c>
    </row>
    <row r="11" spans="1:4" x14ac:dyDescent="0.25">
      <c r="A11" s="17" t="s">
        <v>87</v>
      </c>
      <c r="B11" s="5" t="s">
        <v>40</v>
      </c>
    </row>
    <row r="12" spans="1:4" x14ac:dyDescent="0.25">
      <c r="A12" s="17" t="s">
        <v>34</v>
      </c>
      <c r="B12" s="5" t="s">
        <v>40</v>
      </c>
    </row>
    <row r="13" spans="1:4" x14ac:dyDescent="0.25">
      <c r="A13" s="17" t="s">
        <v>88</v>
      </c>
      <c r="B13" s="5" t="s">
        <v>40</v>
      </c>
    </row>
    <row r="14" spans="1:4" x14ac:dyDescent="0.25">
      <c r="A14" s="17" t="s">
        <v>89</v>
      </c>
      <c r="B14" s="5" t="s">
        <v>40</v>
      </c>
    </row>
    <row r="15" spans="1:4" x14ac:dyDescent="0.25">
      <c r="A15" s="17" t="s">
        <v>90</v>
      </c>
      <c r="B15" s="5" t="s">
        <v>40</v>
      </c>
    </row>
    <row r="16" spans="1:4" x14ac:dyDescent="0.25">
      <c r="A16" s="17" t="s">
        <v>91</v>
      </c>
      <c r="B16" s="5" t="s">
        <v>40</v>
      </c>
    </row>
    <row r="17" spans="1:2" x14ac:dyDescent="0.25">
      <c r="A17" s="17" t="s">
        <v>92</v>
      </c>
      <c r="B17" s="5" t="s">
        <v>40</v>
      </c>
    </row>
    <row r="18" spans="1:2" x14ac:dyDescent="0.25">
      <c r="A18" s="5" t="s">
        <v>93</v>
      </c>
      <c r="B18" s="5" t="s">
        <v>4</v>
      </c>
    </row>
    <row r="19" spans="1:2" x14ac:dyDescent="0.25">
      <c r="A19" s="5" t="s">
        <v>94</v>
      </c>
      <c r="B19" s="5" t="s">
        <v>4</v>
      </c>
    </row>
    <row r="20" spans="1:2" x14ac:dyDescent="0.25">
      <c r="A20" s="5" t="s">
        <v>95</v>
      </c>
      <c r="B20" s="5" t="s">
        <v>4</v>
      </c>
    </row>
    <row r="21" spans="1:2" x14ac:dyDescent="0.25">
      <c r="A21" s="5" t="s">
        <v>96</v>
      </c>
      <c r="B21" s="5" t="s">
        <v>4</v>
      </c>
    </row>
    <row r="22" spans="1:2" x14ac:dyDescent="0.25">
      <c r="A22" s="5" t="s">
        <v>97</v>
      </c>
      <c r="B22" s="5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C4:K25"/>
  <sheetViews>
    <sheetView workbookViewId="0"/>
  </sheetViews>
  <sheetFormatPr defaultColWidth="12.6640625" defaultRowHeight="15" customHeight="1" x14ac:dyDescent="0.25"/>
  <cols>
    <col min="1" max="1" width="16.21875" customWidth="1"/>
    <col min="3" max="3" width="25.33203125" customWidth="1"/>
    <col min="4" max="4" width="14.33203125" customWidth="1"/>
    <col min="6" max="6" width="26.44140625" customWidth="1"/>
  </cols>
  <sheetData>
    <row r="4" spans="3:11" ht="15" customHeight="1" x14ac:dyDescent="0.35">
      <c r="C4" s="24" t="s">
        <v>98</v>
      </c>
      <c r="D4" s="23"/>
      <c r="E4" s="23"/>
      <c r="F4" s="23"/>
      <c r="G4" s="23"/>
      <c r="H4" s="23"/>
      <c r="I4" s="23"/>
      <c r="J4" s="23"/>
      <c r="K4" s="8"/>
    </row>
    <row r="5" spans="3:11" ht="15" customHeight="1" x14ac:dyDescent="0.3">
      <c r="C5" s="8"/>
      <c r="D5" s="8"/>
      <c r="E5" s="8"/>
      <c r="F5" s="8"/>
      <c r="G5" s="8"/>
      <c r="H5" s="8"/>
      <c r="I5" s="8"/>
      <c r="J5" s="8"/>
      <c r="K5" s="8"/>
    </row>
    <row r="6" spans="3:11" ht="15" customHeight="1" x14ac:dyDescent="0.3">
      <c r="C6" s="9" t="s">
        <v>63</v>
      </c>
      <c r="D6" s="10">
        <v>0</v>
      </c>
      <c r="E6" s="8"/>
      <c r="F6" s="8"/>
      <c r="G6" s="8"/>
      <c r="H6" s="8"/>
      <c r="I6" s="8"/>
      <c r="J6" s="8"/>
      <c r="K6" s="8"/>
    </row>
    <row r="7" spans="3:11" ht="15" customHeight="1" x14ac:dyDescent="0.3">
      <c r="C7" s="9" t="s">
        <v>64</v>
      </c>
      <c r="D7" s="10">
        <v>0</v>
      </c>
      <c r="E7" s="8"/>
      <c r="F7" s="8"/>
      <c r="G7" s="8"/>
      <c r="H7" s="8"/>
      <c r="I7" s="8"/>
      <c r="J7" s="8"/>
      <c r="K7" s="8"/>
    </row>
    <row r="8" spans="3:11" ht="15" customHeight="1" x14ac:dyDescent="0.3">
      <c r="C8" s="8"/>
      <c r="D8" s="8"/>
      <c r="E8" s="8"/>
      <c r="F8" s="8"/>
      <c r="G8" s="8"/>
      <c r="H8" s="8"/>
      <c r="I8" s="8"/>
      <c r="J8" s="8"/>
      <c r="K8" s="8"/>
    </row>
    <row r="9" spans="3:11" ht="15" customHeight="1" x14ac:dyDescent="0.3">
      <c r="C9" s="9" t="s">
        <v>99</v>
      </c>
      <c r="D9" s="18">
        <f>'06_Quote_Output'!F64</f>
        <v>1058.4000000000001</v>
      </c>
      <c r="E9" s="8"/>
      <c r="F9" s="8" t="s">
        <v>100</v>
      </c>
      <c r="G9" s="8"/>
      <c r="H9" s="8"/>
      <c r="I9" s="8"/>
      <c r="J9" s="8"/>
      <c r="K9" s="8"/>
    </row>
    <row r="10" spans="3:11" ht="15" customHeight="1" x14ac:dyDescent="0.3">
      <c r="C10" s="9" t="s">
        <v>72</v>
      </c>
      <c r="D10" s="18">
        <f>'06_Quote_Output'!F65</f>
        <v>1190.6999999999998</v>
      </c>
      <c r="E10" s="8"/>
      <c r="F10" s="15"/>
      <c r="G10" s="19"/>
      <c r="H10" s="8"/>
      <c r="I10" s="8"/>
      <c r="J10" s="8"/>
      <c r="K10" s="8"/>
    </row>
    <row r="11" spans="3:11" ht="15" customHeight="1" x14ac:dyDescent="0.3">
      <c r="C11" s="9" t="s">
        <v>101</v>
      </c>
      <c r="D11" s="18">
        <f>SUMPRODUCT('02_Supplier_Input'!E:E, '02_Supplier_Input'!O:O)</f>
        <v>793.8</v>
      </c>
      <c r="E11" s="8"/>
      <c r="F11" s="9" t="s">
        <v>102</v>
      </c>
      <c r="G11" s="20">
        <v>0.08</v>
      </c>
      <c r="H11" s="8"/>
      <c r="I11" s="8"/>
      <c r="J11" s="8"/>
      <c r="K11" s="8"/>
    </row>
    <row r="12" spans="3:11" ht="15" customHeight="1" x14ac:dyDescent="0.3">
      <c r="C12" s="9" t="s">
        <v>103</v>
      </c>
      <c r="D12" s="18">
        <f>D9-D11</f>
        <v>264.60000000000014</v>
      </c>
      <c r="E12" s="8"/>
      <c r="F12" s="9" t="s">
        <v>104</v>
      </c>
      <c r="G12" s="20">
        <v>0.05</v>
      </c>
      <c r="H12" s="8"/>
      <c r="I12" s="8"/>
      <c r="J12" s="8"/>
      <c r="K12" s="8"/>
    </row>
    <row r="13" spans="3:11" ht="15" customHeight="1" x14ac:dyDescent="0.3">
      <c r="C13" s="9" t="s">
        <v>105</v>
      </c>
      <c r="D13" s="18">
        <f>IFERROR(D12 / D9, 0)*100</f>
        <v>25.000000000000011</v>
      </c>
      <c r="E13" s="8"/>
      <c r="F13" s="8"/>
      <c r="G13" s="8"/>
      <c r="H13" s="8"/>
      <c r="I13" s="8"/>
      <c r="J13" s="8"/>
      <c r="K13" s="8"/>
    </row>
    <row r="14" spans="3:11" ht="15" customHeight="1" x14ac:dyDescent="0.3">
      <c r="C14" s="9" t="s">
        <v>106</v>
      </c>
      <c r="D14" s="18">
        <f ca="1">IFERROR(__xludf.DUMMYFUNCTION("COUNTUNIQUE('02_Supplier_Input'!B2:B1005)"),4)</f>
        <v>4</v>
      </c>
      <c r="E14" s="8"/>
      <c r="F14" s="15"/>
      <c r="G14" s="21"/>
      <c r="H14" s="8"/>
      <c r="I14" s="8"/>
      <c r="J14" s="8"/>
      <c r="K14" s="8"/>
    </row>
    <row r="15" spans="3:11" ht="15" customHeight="1" x14ac:dyDescent="0.3">
      <c r="C15" s="8"/>
      <c r="D15" s="8"/>
      <c r="E15" s="8"/>
      <c r="F15" s="15"/>
      <c r="G15" s="21"/>
      <c r="H15" s="8"/>
      <c r="I15" s="8"/>
      <c r="J15" s="8"/>
      <c r="K15" s="8"/>
    </row>
    <row r="16" spans="3:11" ht="15" customHeight="1" x14ac:dyDescent="0.3">
      <c r="C16" s="8"/>
      <c r="D16" s="8"/>
      <c r="E16" s="8"/>
      <c r="F16" s="15"/>
      <c r="G16" s="21"/>
      <c r="H16" s="8"/>
      <c r="I16" s="8"/>
      <c r="J16" s="8"/>
      <c r="K16" s="8"/>
    </row>
    <row r="17" spans="3:11" ht="15" customHeight="1" x14ac:dyDescent="0.3">
      <c r="C17" s="8"/>
      <c r="D17" s="8"/>
      <c r="E17" s="8"/>
      <c r="F17" s="15"/>
      <c r="G17" s="21"/>
      <c r="H17" s="8"/>
      <c r="I17" s="8"/>
      <c r="J17" s="8"/>
      <c r="K17" s="8"/>
    </row>
    <row r="18" spans="3:11" ht="15" customHeight="1" x14ac:dyDescent="0.3">
      <c r="C18" s="8"/>
      <c r="D18" s="8"/>
      <c r="E18" s="8"/>
      <c r="F18" s="9" t="s">
        <v>107</v>
      </c>
      <c r="G18" s="18"/>
      <c r="H18" s="8"/>
      <c r="I18" s="8"/>
      <c r="J18" s="8"/>
      <c r="K18" s="8"/>
    </row>
    <row r="19" spans="3:11" ht="15" customHeight="1" x14ac:dyDescent="0.3">
      <c r="C19" s="8" t="s">
        <v>108</v>
      </c>
      <c r="D19" s="8"/>
      <c r="E19" s="8"/>
      <c r="F19" s="8"/>
      <c r="G19" s="8"/>
      <c r="H19" s="8"/>
      <c r="I19" s="8"/>
      <c r="J19" s="8"/>
      <c r="K19" s="8"/>
    </row>
    <row r="20" spans="3:11" ht="15" customHeight="1" x14ac:dyDescent="0.3">
      <c r="C20" s="9" t="s">
        <v>109</v>
      </c>
      <c r="D20" s="10">
        <v>240</v>
      </c>
      <c r="E20" s="8"/>
      <c r="F20" s="8"/>
      <c r="G20" s="8"/>
      <c r="H20" s="8"/>
      <c r="I20" s="8"/>
      <c r="J20" s="8"/>
      <c r="K20" s="8"/>
    </row>
    <row r="21" spans="3:11" ht="15" customHeight="1" x14ac:dyDescent="0.3">
      <c r="C21" s="9" t="s">
        <v>110</v>
      </c>
      <c r="D21" s="10" t="s">
        <v>111</v>
      </c>
      <c r="E21" s="8"/>
      <c r="F21" s="8"/>
      <c r="G21" s="8"/>
      <c r="H21" s="8"/>
      <c r="I21" s="8"/>
      <c r="J21" s="8"/>
      <c r="K21" s="8"/>
    </row>
    <row r="22" spans="3:11" ht="15" customHeight="1" x14ac:dyDescent="0.3">
      <c r="C22" s="8"/>
      <c r="D22" s="8"/>
      <c r="E22" s="8"/>
      <c r="F22" s="8"/>
      <c r="G22" s="8"/>
      <c r="H22" s="8"/>
      <c r="I22" s="8"/>
      <c r="J22" s="8"/>
      <c r="K22" s="8"/>
    </row>
    <row r="23" spans="3:11" ht="15" customHeight="1" x14ac:dyDescent="0.3">
      <c r="C23" s="8"/>
      <c r="D23" s="8"/>
      <c r="E23" s="8"/>
      <c r="F23" s="8"/>
      <c r="G23" s="8"/>
      <c r="H23" s="8"/>
      <c r="I23" s="8"/>
      <c r="J23" s="8"/>
      <c r="K23" s="8"/>
    </row>
    <row r="24" spans="3:11" ht="15" customHeight="1" x14ac:dyDescent="0.3">
      <c r="C24" s="8"/>
      <c r="D24" s="8"/>
      <c r="E24" s="8"/>
      <c r="F24" s="8"/>
      <c r="G24" s="8"/>
      <c r="H24" s="8"/>
      <c r="I24" s="8"/>
      <c r="J24" s="8"/>
      <c r="K24" s="8"/>
    </row>
    <row r="25" spans="3:11" ht="15" customHeight="1" x14ac:dyDescent="0.3">
      <c r="C25" s="8"/>
      <c r="D25" s="8"/>
      <c r="E25" s="8"/>
      <c r="F25" s="8"/>
      <c r="G25" s="8"/>
      <c r="H25" s="8"/>
      <c r="I25" s="8"/>
      <c r="J25" s="8"/>
      <c r="K25" s="8"/>
    </row>
  </sheetData>
  <mergeCells count="1">
    <mergeCell ref="C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01_Control_Panel</vt:lpstr>
      <vt:lpstr>02_Supplier_Input</vt:lpstr>
      <vt:lpstr>03_FX_Rates</vt:lpstr>
      <vt:lpstr>04_Logistics_Taxes</vt:lpstr>
      <vt:lpstr>05_Margin_Engine</vt:lpstr>
      <vt:lpstr>06_Quote_Output</vt:lpstr>
      <vt:lpstr>07_Supplier_List</vt:lpstr>
      <vt:lpstr>Approval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Sachinandan Sen</cp:lastModifiedBy>
  <dcterms:modified xsi:type="dcterms:W3CDTF">2026-01-16T05:35:38Z</dcterms:modified>
</cp:coreProperties>
</file>